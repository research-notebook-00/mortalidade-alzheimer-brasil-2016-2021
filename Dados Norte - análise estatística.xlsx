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14be7dba2fa50b/Documentos/faculdade/tcc/Github/"/>
    </mc:Choice>
  </mc:AlternateContent>
  <xr:revisionPtr revIDLastSave="0" documentId="8_{3350543B-D1C4-4A4C-8EA2-EF027238AF3B}" xr6:coauthVersionLast="47" xr6:coauthVersionMax="47" xr10:uidLastSave="{00000000-0000-0000-0000-000000000000}"/>
  <bookViews>
    <workbookView xWindow="-108" yWindow="-108" windowWidth="23256" windowHeight="12456" xr2:uid="{77977CF1-07D3-40B1-8217-209B7EF0E41F}"/>
  </bookViews>
  <sheets>
    <sheet name="n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45" i="1" l="1"/>
  <c r="CH45" i="1" s="1"/>
  <c r="BW45" i="1"/>
  <c r="BX45" i="1" s="1"/>
  <c r="BM45" i="1"/>
  <c r="BN45" i="1" s="1"/>
  <c r="BC45" i="1"/>
  <c r="BD45" i="1" s="1"/>
  <c r="AT45" i="1"/>
  <c r="AS45" i="1"/>
  <c r="AJ45" i="1"/>
  <c r="AI45" i="1"/>
  <c r="Z45" i="1"/>
  <c r="Y45" i="1"/>
  <c r="P45" i="1"/>
  <c r="O45" i="1"/>
  <c r="F45" i="1"/>
  <c r="E45" i="1"/>
  <c r="CH44" i="1"/>
  <c r="CG44" i="1"/>
  <c r="BX44" i="1"/>
  <c r="BW44" i="1"/>
  <c r="BN44" i="1"/>
  <c r="BM44" i="1"/>
  <c r="BD44" i="1"/>
  <c r="BC44" i="1"/>
  <c r="AT44" i="1"/>
  <c r="AS44" i="1"/>
  <c r="AJ44" i="1"/>
  <c r="AI44" i="1"/>
  <c r="Z44" i="1"/>
  <c r="Y44" i="1"/>
  <c r="P44" i="1"/>
  <c r="O44" i="1"/>
  <c r="F44" i="1"/>
  <c r="E44" i="1"/>
  <c r="CH43" i="1"/>
  <c r="CG43" i="1"/>
  <c r="BX43" i="1"/>
  <c r="BW43" i="1"/>
  <c r="BN43" i="1"/>
  <c r="BM43" i="1"/>
  <c r="BD43" i="1"/>
  <c r="BC43" i="1"/>
  <c r="AT43" i="1"/>
  <c r="AS43" i="1"/>
  <c r="AJ43" i="1"/>
  <c r="AI43" i="1"/>
  <c r="Z43" i="1"/>
  <c r="Y43" i="1"/>
  <c r="P43" i="1"/>
  <c r="O43" i="1"/>
  <c r="F43" i="1"/>
  <c r="E43" i="1"/>
  <c r="CH42" i="1"/>
  <c r="CG42" i="1"/>
  <c r="BX42" i="1"/>
  <c r="BW42" i="1"/>
  <c r="BN42" i="1"/>
  <c r="BM42" i="1"/>
  <c r="BD42" i="1"/>
  <c r="BC42" i="1"/>
  <c r="AT42" i="1"/>
  <c r="AS42" i="1"/>
  <c r="AJ42" i="1"/>
  <c r="AI42" i="1"/>
  <c r="Z42" i="1"/>
  <c r="Y42" i="1"/>
  <c r="P42" i="1"/>
  <c r="O42" i="1"/>
  <c r="F42" i="1"/>
  <c r="E42" i="1"/>
  <c r="CH41" i="1"/>
  <c r="CG41" i="1"/>
  <c r="BX41" i="1"/>
  <c r="BW41" i="1"/>
  <c r="BN41" i="1"/>
  <c r="BM41" i="1"/>
  <c r="BD41" i="1"/>
  <c r="BC41" i="1"/>
  <c r="AT41" i="1"/>
  <c r="AS41" i="1"/>
  <c r="AJ41" i="1"/>
  <c r="AI41" i="1"/>
  <c r="Z41" i="1"/>
  <c r="Y41" i="1"/>
  <c r="P41" i="1"/>
  <c r="O41" i="1"/>
  <c r="F41" i="1"/>
  <c r="E41" i="1"/>
  <c r="CN40" i="1"/>
  <c r="CM40" i="1"/>
  <c r="CL40" i="1"/>
  <c r="CG40" i="1"/>
  <c r="CH40" i="1" s="1"/>
  <c r="CD40" i="1"/>
  <c r="CC40" i="1"/>
  <c r="CB40" i="1"/>
  <c r="BW40" i="1"/>
  <c r="BX40" i="1" s="1"/>
  <c r="BT40" i="1"/>
  <c r="BS40" i="1"/>
  <c r="BR40" i="1"/>
  <c r="BM40" i="1"/>
  <c r="BN40" i="1" s="1"/>
  <c r="BJ40" i="1"/>
  <c r="BI40" i="1"/>
  <c r="BH40" i="1"/>
  <c r="BD40" i="1"/>
  <c r="BC40" i="1"/>
  <c r="AZ40" i="1"/>
  <c r="AY40" i="1"/>
  <c r="AX40" i="1"/>
  <c r="AT40" i="1"/>
  <c r="AS40" i="1"/>
  <c r="AP40" i="1"/>
  <c r="AO40" i="1"/>
  <c r="AN40" i="1"/>
  <c r="AJ40" i="1"/>
  <c r="AI40" i="1"/>
  <c r="AF40" i="1"/>
  <c r="AE40" i="1"/>
  <c r="AD40" i="1"/>
  <c r="Z40" i="1"/>
  <c r="Y40" i="1"/>
  <c r="V40" i="1"/>
  <c r="U40" i="1"/>
  <c r="T40" i="1"/>
  <c r="O40" i="1"/>
  <c r="P40" i="1" s="1"/>
  <c r="L40" i="1"/>
  <c r="K40" i="1"/>
  <c r="J40" i="1"/>
  <c r="E40" i="1"/>
  <c r="F40" i="1" s="1"/>
  <c r="CG39" i="1"/>
  <c r="CH39" i="1" s="1"/>
  <c r="BX39" i="1"/>
  <c r="BW39" i="1"/>
  <c r="BN39" i="1"/>
  <c r="BM39" i="1"/>
  <c r="BC39" i="1"/>
  <c r="BD39" i="1" s="1"/>
  <c r="AS39" i="1"/>
  <c r="AT39" i="1" s="1"/>
  <c r="AJ39" i="1"/>
  <c r="AI39" i="1"/>
  <c r="Z39" i="1"/>
  <c r="Y39" i="1"/>
  <c r="O39" i="1"/>
  <c r="P39" i="1" s="1"/>
  <c r="E39" i="1"/>
  <c r="F39" i="1" s="1"/>
  <c r="CH38" i="1"/>
  <c r="CG38" i="1"/>
  <c r="BX38" i="1"/>
  <c r="BW38" i="1"/>
  <c r="BM38" i="1"/>
  <c r="BN38" i="1" s="1"/>
  <c r="BC38" i="1"/>
  <c r="BD38" i="1" s="1"/>
  <c r="AT38" i="1"/>
  <c r="AS38" i="1"/>
  <c r="AJ38" i="1"/>
  <c r="AI38" i="1"/>
  <c r="Y38" i="1"/>
  <c r="Z38" i="1" s="1"/>
  <c r="O38" i="1"/>
  <c r="P38" i="1" s="1"/>
  <c r="F38" i="1"/>
  <c r="E38" i="1"/>
  <c r="CH37" i="1"/>
  <c r="CG37" i="1"/>
  <c r="BW37" i="1"/>
  <c r="BX37" i="1" s="1"/>
  <c r="BM37" i="1"/>
  <c r="BN37" i="1" s="1"/>
  <c r="BD37" i="1"/>
  <c r="BC37" i="1"/>
  <c r="AT37" i="1"/>
  <c r="AS37" i="1"/>
  <c r="AI37" i="1"/>
  <c r="AJ37" i="1" s="1"/>
  <c r="Y37" i="1"/>
  <c r="Z37" i="1" s="1"/>
  <c r="O37" i="1"/>
  <c r="P37" i="1" s="1"/>
  <c r="F37" i="1"/>
  <c r="E37" i="1"/>
  <c r="CG36" i="1"/>
  <c r="CH36" i="1" s="1"/>
  <c r="BW36" i="1"/>
  <c r="BX36" i="1" s="1"/>
  <c r="BM36" i="1"/>
  <c r="BN36" i="1" s="1"/>
  <c r="BD36" i="1"/>
  <c r="BC36" i="1"/>
  <c r="AS36" i="1"/>
  <c r="AT36" i="1" s="1"/>
  <c r="AI36" i="1"/>
  <c r="AJ36" i="1" s="1"/>
  <c r="Y36" i="1"/>
  <c r="Z36" i="1" s="1"/>
  <c r="P36" i="1"/>
  <c r="O36" i="1"/>
  <c r="E36" i="1"/>
  <c r="F36" i="1" s="1"/>
  <c r="CG35" i="1"/>
  <c r="CH35" i="1" s="1"/>
  <c r="BW35" i="1"/>
  <c r="BX35" i="1" s="1"/>
  <c r="BN35" i="1"/>
  <c r="BM35" i="1"/>
  <c r="BC35" i="1"/>
  <c r="BD35" i="1" s="1"/>
  <c r="AS35" i="1"/>
  <c r="AT35" i="1" s="1"/>
  <c r="AI35" i="1"/>
  <c r="AJ35" i="1" s="1"/>
  <c r="Z35" i="1"/>
  <c r="Y35" i="1"/>
  <c r="O35" i="1"/>
  <c r="P35" i="1" s="1"/>
  <c r="E35" i="1"/>
  <c r="F35" i="1" s="1"/>
  <c r="CN34" i="1"/>
  <c r="CM34" i="1"/>
  <c r="CL34" i="1"/>
  <c r="CH34" i="1"/>
  <c r="CG34" i="1"/>
  <c r="CD34" i="1"/>
  <c r="CC34" i="1"/>
  <c r="CB34" i="1"/>
  <c r="BW34" i="1"/>
  <c r="BX34" i="1" s="1"/>
  <c r="BT34" i="1"/>
  <c r="BS34" i="1"/>
  <c r="BR34" i="1"/>
  <c r="BN34" i="1"/>
  <c r="BM34" i="1"/>
  <c r="BJ34" i="1"/>
  <c r="BI34" i="1"/>
  <c r="BH34" i="1"/>
  <c r="BD34" i="1"/>
  <c r="BC34" i="1"/>
  <c r="AZ34" i="1"/>
  <c r="AY34" i="1"/>
  <c r="AX34" i="1"/>
  <c r="AS34" i="1"/>
  <c r="AT34" i="1" s="1"/>
  <c r="AP34" i="1"/>
  <c r="AO34" i="1"/>
  <c r="AN34" i="1"/>
  <c r="AI34" i="1"/>
  <c r="AJ34" i="1" s="1"/>
  <c r="AF34" i="1"/>
  <c r="AE34" i="1"/>
  <c r="AD34" i="1"/>
  <c r="Z34" i="1"/>
  <c r="Y34" i="1"/>
  <c r="V34" i="1"/>
  <c r="U34" i="1"/>
  <c r="T34" i="1"/>
  <c r="O34" i="1"/>
  <c r="P34" i="1" s="1"/>
  <c r="L34" i="1"/>
  <c r="K34" i="1"/>
  <c r="J34" i="1"/>
  <c r="F34" i="1"/>
  <c r="E34" i="1"/>
  <c r="CH33" i="1"/>
  <c r="CG33" i="1"/>
  <c r="BW33" i="1"/>
  <c r="BX33" i="1" s="1"/>
  <c r="BN33" i="1"/>
  <c r="BM33" i="1"/>
  <c r="BD33" i="1"/>
  <c r="BC33" i="1"/>
  <c r="AT33" i="1"/>
  <c r="AS33" i="1"/>
  <c r="AI33" i="1"/>
  <c r="AJ33" i="1" s="1"/>
  <c r="Z33" i="1"/>
  <c r="Y33" i="1"/>
  <c r="P33" i="1"/>
  <c r="O33" i="1"/>
  <c r="F33" i="1"/>
  <c r="E33" i="1"/>
  <c r="CG32" i="1"/>
  <c r="CH32" i="1" s="1"/>
  <c r="BX32" i="1"/>
  <c r="BW32" i="1"/>
  <c r="BN32" i="1"/>
  <c r="BM32" i="1"/>
  <c r="BD32" i="1"/>
  <c r="BC32" i="1"/>
  <c r="AS32" i="1"/>
  <c r="AT32" i="1" s="1"/>
  <c r="AJ32" i="1"/>
  <c r="AI32" i="1"/>
  <c r="Z32" i="1"/>
  <c r="Y32" i="1"/>
  <c r="P32" i="1"/>
  <c r="O32" i="1"/>
  <c r="E32" i="1"/>
  <c r="F32" i="1" s="1"/>
  <c r="CH31" i="1"/>
  <c r="CG31" i="1"/>
  <c r="BX31" i="1"/>
  <c r="BW31" i="1"/>
  <c r="BN31" i="1"/>
  <c r="BM31" i="1"/>
  <c r="BC31" i="1"/>
  <c r="BD31" i="1" s="1"/>
  <c r="AT31" i="1"/>
  <c r="AS31" i="1"/>
  <c r="AJ31" i="1"/>
  <c r="AI31" i="1"/>
  <c r="Z31" i="1"/>
  <c r="Y31" i="1"/>
  <c r="O31" i="1"/>
  <c r="P31" i="1" s="1"/>
  <c r="F31" i="1"/>
  <c r="E31" i="1"/>
  <c r="CH30" i="1"/>
  <c r="CG30" i="1"/>
  <c r="BX30" i="1"/>
  <c r="BW30" i="1"/>
  <c r="BM30" i="1"/>
  <c r="BN30" i="1" s="1"/>
  <c r="BD30" i="1"/>
  <c r="BC30" i="1"/>
  <c r="AT30" i="1"/>
  <c r="AS30" i="1"/>
  <c r="AJ30" i="1"/>
  <c r="AI30" i="1"/>
  <c r="Y30" i="1"/>
  <c r="Z30" i="1" s="1"/>
  <c r="P30" i="1"/>
  <c r="O30" i="1"/>
  <c r="F30" i="1"/>
  <c r="E30" i="1"/>
  <c r="CH29" i="1"/>
  <c r="CG29" i="1"/>
  <c r="BW29" i="1"/>
  <c r="BX29" i="1" s="1"/>
  <c r="BN29" i="1"/>
  <c r="BM29" i="1"/>
  <c r="BD29" i="1"/>
  <c r="BC29" i="1"/>
  <c r="AT29" i="1"/>
  <c r="AS29" i="1"/>
  <c r="AI29" i="1"/>
  <c r="AJ29" i="1" s="1"/>
  <c r="Z29" i="1"/>
  <c r="Y29" i="1"/>
  <c r="P29" i="1"/>
  <c r="O29" i="1"/>
  <c r="F29" i="1"/>
  <c r="E29" i="1"/>
  <c r="CN28" i="1"/>
  <c r="CM28" i="1"/>
  <c r="CL28" i="1"/>
  <c r="CH28" i="1"/>
  <c r="CG28" i="1"/>
  <c r="CD28" i="1"/>
  <c r="CC28" i="1"/>
  <c r="CB28" i="1"/>
  <c r="BW28" i="1"/>
  <c r="BX28" i="1" s="1"/>
  <c r="BT28" i="1"/>
  <c r="BS28" i="1"/>
  <c r="BR28" i="1"/>
  <c r="BM28" i="1"/>
  <c r="BN28" i="1" s="1"/>
  <c r="BJ28" i="1"/>
  <c r="BI28" i="1"/>
  <c r="BH28" i="1"/>
  <c r="BD28" i="1"/>
  <c r="BC28" i="1"/>
  <c r="AZ28" i="1"/>
  <c r="AY28" i="1"/>
  <c r="AX28" i="1"/>
  <c r="AS28" i="1"/>
  <c r="AT28" i="1" s="1"/>
  <c r="AP28" i="1"/>
  <c r="AO28" i="1"/>
  <c r="AN28" i="1"/>
  <c r="AJ28" i="1"/>
  <c r="AI28" i="1"/>
  <c r="AF28" i="1"/>
  <c r="AE28" i="1"/>
  <c r="AD28" i="1"/>
  <c r="Y28" i="1"/>
  <c r="Z28" i="1" s="1"/>
  <c r="V28" i="1"/>
  <c r="U28" i="1"/>
  <c r="T28" i="1"/>
  <c r="P28" i="1"/>
  <c r="O28" i="1"/>
  <c r="L28" i="1"/>
  <c r="K28" i="1"/>
  <c r="J28" i="1"/>
  <c r="F28" i="1"/>
  <c r="E28" i="1"/>
  <c r="CG27" i="1"/>
  <c r="CH27" i="1" s="1"/>
  <c r="BW27" i="1"/>
  <c r="BX27" i="1" s="1"/>
  <c r="BM27" i="1"/>
  <c r="BN27" i="1" s="1"/>
  <c r="BD27" i="1"/>
  <c r="BC27" i="1"/>
  <c r="AS27" i="1"/>
  <c r="AT27" i="1" s="1"/>
  <c r="AI27" i="1"/>
  <c r="AJ27" i="1" s="1"/>
  <c r="Y27" i="1"/>
  <c r="Z27" i="1" s="1"/>
  <c r="P27" i="1"/>
  <c r="O27" i="1"/>
  <c r="E27" i="1"/>
  <c r="F27" i="1" s="1"/>
  <c r="CG26" i="1"/>
  <c r="CH26" i="1" s="1"/>
  <c r="BW26" i="1"/>
  <c r="BX26" i="1" s="1"/>
  <c r="BN26" i="1"/>
  <c r="BM26" i="1"/>
  <c r="BC26" i="1"/>
  <c r="BD26" i="1" s="1"/>
  <c r="AS26" i="1"/>
  <c r="AT26" i="1" s="1"/>
  <c r="AI26" i="1"/>
  <c r="AJ26" i="1" s="1"/>
  <c r="Z26" i="1"/>
  <c r="Y26" i="1"/>
  <c r="O26" i="1"/>
  <c r="P26" i="1" s="1"/>
  <c r="E26" i="1"/>
  <c r="F26" i="1" s="1"/>
  <c r="CG25" i="1"/>
  <c r="CH25" i="1" s="1"/>
  <c r="BX25" i="1"/>
  <c r="BW25" i="1"/>
  <c r="BM25" i="1"/>
  <c r="BN25" i="1" s="1"/>
  <c r="BC25" i="1"/>
  <c r="BD25" i="1" s="1"/>
  <c r="AS25" i="1"/>
  <c r="AT25" i="1" s="1"/>
  <c r="AJ25" i="1"/>
  <c r="AI25" i="1"/>
  <c r="Y25" i="1"/>
  <c r="Z25" i="1" s="1"/>
  <c r="O25" i="1"/>
  <c r="P25" i="1" s="1"/>
  <c r="E25" i="1"/>
  <c r="F25" i="1" s="1"/>
  <c r="CH24" i="1"/>
  <c r="CG24" i="1"/>
  <c r="BW24" i="1"/>
  <c r="BX24" i="1" s="1"/>
  <c r="BM24" i="1"/>
  <c r="BN24" i="1" s="1"/>
  <c r="BC24" i="1"/>
  <c r="BD24" i="1" s="1"/>
  <c r="AT24" i="1"/>
  <c r="AS24" i="1"/>
  <c r="AI24" i="1"/>
  <c r="AJ24" i="1" s="1"/>
  <c r="Y24" i="1"/>
  <c r="Z24" i="1" s="1"/>
  <c r="O24" i="1"/>
  <c r="P24" i="1" s="1"/>
  <c r="F24" i="1"/>
  <c r="E24" i="1"/>
  <c r="CG23" i="1"/>
  <c r="CH23" i="1" s="1"/>
  <c r="BW23" i="1"/>
  <c r="BX23" i="1" s="1"/>
  <c r="BM23" i="1"/>
  <c r="BN23" i="1" s="1"/>
  <c r="BD23" i="1"/>
  <c r="BC23" i="1"/>
  <c r="AS23" i="1"/>
  <c r="AT23" i="1" s="1"/>
  <c r="AI23" i="1"/>
  <c r="AJ23" i="1" s="1"/>
  <c r="Y23" i="1"/>
  <c r="Z23" i="1" s="1"/>
  <c r="P23" i="1"/>
  <c r="O23" i="1"/>
  <c r="E23" i="1"/>
  <c r="F23" i="1" s="1"/>
  <c r="CN22" i="1"/>
  <c r="CM22" i="1"/>
  <c r="CL22" i="1"/>
  <c r="CH22" i="1"/>
  <c r="CG22" i="1"/>
  <c r="CD22" i="1"/>
  <c r="CC22" i="1"/>
  <c r="CB22" i="1"/>
  <c r="BW22" i="1"/>
  <c r="BX22" i="1" s="1"/>
  <c r="BT22" i="1"/>
  <c r="BS22" i="1"/>
  <c r="BR22" i="1"/>
  <c r="BN22" i="1"/>
  <c r="BM22" i="1"/>
  <c r="BJ22" i="1"/>
  <c r="BI22" i="1"/>
  <c r="BH22" i="1"/>
  <c r="BC22" i="1"/>
  <c r="BD22" i="1" s="1"/>
  <c r="AZ22" i="1"/>
  <c r="AY22" i="1"/>
  <c r="AX22" i="1"/>
  <c r="AT22" i="1"/>
  <c r="AS22" i="1"/>
  <c r="AP22" i="1"/>
  <c r="AO22" i="1"/>
  <c r="AN22" i="1"/>
  <c r="AJ22" i="1"/>
  <c r="AI22" i="1"/>
  <c r="AF22" i="1"/>
  <c r="AE22" i="1"/>
  <c r="AD22" i="1"/>
  <c r="Y22" i="1"/>
  <c r="Z22" i="1" s="1"/>
  <c r="V22" i="1"/>
  <c r="U22" i="1"/>
  <c r="T22" i="1"/>
  <c r="O22" i="1"/>
  <c r="P22" i="1" s="1"/>
  <c r="L22" i="1"/>
  <c r="K22" i="1"/>
  <c r="J22" i="1"/>
  <c r="F22" i="1"/>
  <c r="E22" i="1"/>
  <c r="CH21" i="1"/>
  <c r="CG21" i="1"/>
  <c r="BX21" i="1"/>
  <c r="BW21" i="1"/>
  <c r="BM21" i="1"/>
  <c r="BN21" i="1" s="1"/>
  <c r="BD21" i="1"/>
  <c r="BC21" i="1"/>
  <c r="AT21" i="1"/>
  <c r="AS21" i="1"/>
  <c r="AJ21" i="1"/>
  <c r="AI21" i="1"/>
  <c r="Y21" i="1"/>
  <c r="Z21" i="1" s="1"/>
  <c r="P21" i="1"/>
  <c r="O21" i="1"/>
  <c r="E21" i="1"/>
  <c r="F21" i="1" s="1"/>
  <c r="CH20" i="1"/>
  <c r="CG20" i="1"/>
  <c r="BW20" i="1"/>
  <c r="BX20" i="1" s="1"/>
  <c r="BN20" i="1"/>
  <c r="BM20" i="1"/>
  <c r="BC20" i="1"/>
  <c r="BD20" i="1" s="1"/>
  <c r="AT20" i="1"/>
  <c r="AS20" i="1"/>
  <c r="AI20" i="1"/>
  <c r="AJ20" i="1" s="1"/>
  <c r="Z20" i="1"/>
  <c r="Y20" i="1"/>
  <c r="O20" i="1"/>
  <c r="P20" i="1" s="1"/>
  <c r="F20" i="1"/>
  <c r="E20" i="1"/>
  <c r="CG19" i="1"/>
  <c r="CH19" i="1" s="1"/>
  <c r="BX19" i="1"/>
  <c r="BW19" i="1"/>
  <c r="BM19" i="1"/>
  <c r="BN19" i="1" s="1"/>
  <c r="BD19" i="1"/>
  <c r="BC19" i="1"/>
  <c r="AS19" i="1"/>
  <c r="AT19" i="1" s="1"/>
  <c r="AJ19" i="1"/>
  <c r="AI19" i="1"/>
  <c r="Y19" i="1"/>
  <c r="Z19" i="1" s="1"/>
  <c r="P19" i="1"/>
  <c r="O19" i="1"/>
  <c r="E19" i="1"/>
  <c r="F19" i="1" s="1"/>
  <c r="CH18" i="1"/>
  <c r="CG18" i="1"/>
  <c r="BW18" i="1"/>
  <c r="BX18" i="1" s="1"/>
  <c r="BN18" i="1"/>
  <c r="BM18" i="1"/>
  <c r="BC18" i="1"/>
  <c r="BD18" i="1" s="1"/>
  <c r="AT18" i="1"/>
  <c r="AS18" i="1"/>
  <c r="AI18" i="1"/>
  <c r="AJ18" i="1" s="1"/>
  <c r="Z18" i="1"/>
  <c r="Y18" i="1"/>
  <c r="O18" i="1"/>
  <c r="P18" i="1" s="1"/>
  <c r="F18" i="1"/>
  <c r="E18" i="1"/>
  <c r="CG17" i="1"/>
  <c r="CH17" i="1" s="1"/>
  <c r="BX17" i="1"/>
  <c r="BW17" i="1"/>
  <c r="BM17" i="1"/>
  <c r="BN17" i="1" s="1"/>
  <c r="BD17" i="1"/>
  <c r="BC17" i="1"/>
  <c r="AS17" i="1"/>
  <c r="AT17" i="1" s="1"/>
  <c r="AJ17" i="1"/>
  <c r="AI17" i="1"/>
  <c r="Y17" i="1"/>
  <c r="Z17" i="1" s="1"/>
  <c r="P17" i="1"/>
  <c r="O17" i="1"/>
  <c r="E17" i="1"/>
  <c r="F17" i="1" s="1"/>
  <c r="CN16" i="1"/>
  <c r="CM16" i="1"/>
  <c r="CL16" i="1"/>
  <c r="CG16" i="1"/>
  <c r="CH16" i="1" s="1"/>
  <c r="CD16" i="1"/>
  <c r="CC16" i="1"/>
  <c r="CB16" i="1"/>
  <c r="BX16" i="1"/>
  <c r="BW16" i="1"/>
  <c r="BT16" i="1"/>
  <c r="BS16" i="1"/>
  <c r="BR16" i="1"/>
  <c r="BN16" i="1"/>
  <c r="BM16" i="1"/>
  <c r="BJ16" i="1"/>
  <c r="BI16" i="1"/>
  <c r="BH16" i="1"/>
  <c r="BC16" i="1"/>
  <c r="BD16" i="1" s="1"/>
  <c r="AZ16" i="1"/>
  <c r="AY16" i="1"/>
  <c r="AX16" i="1"/>
  <c r="AS16" i="1"/>
  <c r="AT16" i="1" s="1"/>
  <c r="AP16" i="1"/>
  <c r="AO16" i="1"/>
  <c r="AN16" i="1"/>
  <c r="AJ16" i="1"/>
  <c r="AI16" i="1"/>
  <c r="AF16" i="1"/>
  <c r="AE16" i="1"/>
  <c r="AD16" i="1"/>
  <c r="Y16" i="1"/>
  <c r="Z16" i="1" s="1"/>
  <c r="V16" i="1"/>
  <c r="U16" i="1"/>
  <c r="T16" i="1"/>
  <c r="O16" i="1"/>
  <c r="P16" i="1" s="1"/>
  <c r="L16" i="1"/>
  <c r="K16" i="1"/>
  <c r="J16" i="1"/>
  <c r="E16" i="1"/>
  <c r="F16" i="1" s="1"/>
  <c r="CH15" i="1"/>
  <c r="CG15" i="1"/>
  <c r="BW15" i="1"/>
  <c r="BX15" i="1" s="1"/>
  <c r="BM15" i="1"/>
  <c r="BN15" i="1" s="1"/>
  <c r="BC15" i="1"/>
  <c r="BD15" i="1" s="1"/>
  <c r="AT15" i="1"/>
  <c r="AS15" i="1"/>
  <c r="AI15" i="1"/>
  <c r="AJ15" i="1" s="1"/>
  <c r="Y15" i="1"/>
  <c r="Z15" i="1" s="1"/>
  <c r="O15" i="1"/>
  <c r="P15" i="1" s="1"/>
  <c r="F15" i="1"/>
  <c r="E15" i="1"/>
  <c r="CG14" i="1"/>
  <c r="CH14" i="1" s="1"/>
  <c r="BW14" i="1"/>
  <c r="BX14" i="1" s="1"/>
  <c r="BM14" i="1"/>
  <c r="BN14" i="1" s="1"/>
  <c r="BD14" i="1"/>
  <c r="BC14" i="1"/>
  <c r="AS14" i="1"/>
  <c r="AT14" i="1" s="1"/>
  <c r="AI14" i="1"/>
  <c r="AJ14" i="1" s="1"/>
  <c r="Y14" i="1"/>
  <c r="Z14" i="1" s="1"/>
  <c r="P14" i="1"/>
  <c r="O14" i="1"/>
  <c r="E14" i="1"/>
  <c r="F14" i="1" s="1"/>
  <c r="CG13" i="1"/>
  <c r="CH13" i="1" s="1"/>
  <c r="BW13" i="1"/>
  <c r="BX13" i="1" s="1"/>
  <c r="BN13" i="1"/>
  <c r="BM13" i="1"/>
  <c r="BC13" i="1"/>
  <c r="BD13" i="1" s="1"/>
  <c r="AS13" i="1"/>
  <c r="AT13" i="1" s="1"/>
  <c r="AI13" i="1"/>
  <c r="AJ13" i="1" s="1"/>
  <c r="Z13" i="1"/>
  <c r="Y13" i="1"/>
  <c r="O13" i="1"/>
  <c r="P13" i="1" s="1"/>
  <c r="E13" i="1"/>
  <c r="F13" i="1" s="1"/>
  <c r="CG12" i="1"/>
  <c r="CH12" i="1" s="1"/>
  <c r="BX12" i="1"/>
  <c r="BW12" i="1"/>
  <c r="BM12" i="1"/>
  <c r="BN12" i="1" s="1"/>
  <c r="BC12" i="1"/>
  <c r="BD12" i="1" s="1"/>
  <c r="AS12" i="1"/>
  <c r="AT12" i="1" s="1"/>
  <c r="AJ12" i="1"/>
  <c r="AI12" i="1"/>
  <c r="Y12" i="1"/>
  <c r="Z12" i="1" s="1"/>
  <c r="O12" i="1"/>
  <c r="P12" i="1" s="1"/>
  <c r="E12" i="1"/>
  <c r="F12" i="1" s="1"/>
  <c r="CH11" i="1"/>
  <c r="CG11" i="1"/>
  <c r="BW11" i="1"/>
  <c r="BX11" i="1" s="1"/>
  <c r="BM11" i="1"/>
  <c r="BN11" i="1" s="1"/>
  <c r="BC11" i="1"/>
  <c r="BD11" i="1" s="1"/>
  <c r="AT11" i="1"/>
  <c r="AS11" i="1"/>
  <c r="AI11" i="1"/>
  <c r="AJ11" i="1" s="1"/>
  <c r="Y11" i="1"/>
  <c r="Z11" i="1" s="1"/>
  <c r="O11" i="1"/>
  <c r="P11" i="1" s="1"/>
  <c r="F11" i="1"/>
  <c r="E11" i="1"/>
  <c r="CN10" i="1"/>
  <c r="CM10" i="1"/>
  <c r="CL10" i="1"/>
  <c r="CG10" i="1"/>
  <c r="CH10" i="1" s="1"/>
  <c r="CD10" i="1"/>
  <c r="CC10" i="1"/>
  <c r="CB10" i="1"/>
  <c r="BW10" i="1"/>
  <c r="BX10" i="1" s="1"/>
  <c r="BT10" i="1"/>
  <c r="BS10" i="1"/>
  <c r="BR10" i="1"/>
  <c r="BN10" i="1"/>
  <c r="BM10" i="1"/>
  <c r="BJ10" i="1"/>
  <c r="BI10" i="1"/>
  <c r="BH10" i="1"/>
  <c r="BC10" i="1"/>
  <c r="BD10" i="1" s="1"/>
  <c r="AZ10" i="1"/>
  <c r="AY10" i="1"/>
  <c r="AX10" i="1"/>
  <c r="AS10" i="1"/>
  <c r="AT10" i="1" s="1"/>
  <c r="AP10" i="1"/>
  <c r="AO10" i="1"/>
  <c r="AN10" i="1"/>
  <c r="AI10" i="1"/>
  <c r="AJ10" i="1" s="1"/>
  <c r="AF10" i="1"/>
  <c r="AE10" i="1"/>
  <c r="AD10" i="1"/>
  <c r="Z10" i="1"/>
  <c r="Y10" i="1"/>
  <c r="V10" i="1"/>
  <c r="U10" i="1"/>
  <c r="T10" i="1"/>
  <c r="P10" i="1"/>
  <c r="O10" i="1"/>
  <c r="L10" i="1"/>
  <c r="K10" i="1"/>
  <c r="J10" i="1"/>
  <c r="E10" i="1"/>
  <c r="F10" i="1" s="1"/>
  <c r="CH9" i="1"/>
  <c r="CG9" i="1"/>
  <c r="BW9" i="1"/>
  <c r="BX9" i="1" s="1"/>
  <c r="BN9" i="1"/>
  <c r="BM9" i="1"/>
  <c r="BC9" i="1"/>
  <c r="BD9" i="1" s="1"/>
  <c r="AT9" i="1"/>
  <c r="AS9" i="1"/>
  <c r="AI9" i="1"/>
  <c r="AJ9" i="1" s="1"/>
  <c r="Z9" i="1"/>
  <c r="Y9" i="1"/>
  <c r="O9" i="1"/>
  <c r="P9" i="1" s="1"/>
  <c r="F9" i="1"/>
  <c r="E9" i="1"/>
  <c r="CG8" i="1"/>
  <c r="CH8" i="1" s="1"/>
  <c r="BX8" i="1"/>
  <c r="BW8" i="1"/>
  <c r="BM8" i="1"/>
  <c r="BN8" i="1" s="1"/>
  <c r="BD8" i="1"/>
  <c r="BC8" i="1"/>
  <c r="AS8" i="1"/>
  <c r="AT8" i="1" s="1"/>
  <c r="AJ8" i="1"/>
  <c r="AI8" i="1"/>
  <c r="Y8" i="1"/>
  <c r="Z8" i="1" s="1"/>
  <c r="P8" i="1"/>
  <c r="O8" i="1"/>
  <c r="E8" i="1"/>
  <c r="F8" i="1" s="1"/>
  <c r="CH7" i="1"/>
  <c r="CG7" i="1"/>
  <c r="BW7" i="1"/>
  <c r="BX7" i="1" s="1"/>
  <c r="BN7" i="1"/>
  <c r="BM7" i="1"/>
  <c r="BC7" i="1"/>
  <c r="BD7" i="1" s="1"/>
  <c r="AT7" i="1"/>
  <c r="AS7" i="1"/>
  <c r="AI7" i="1"/>
  <c r="AJ7" i="1" s="1"/>
  <c r="Z7" i="1"/>
  <c r="Y7" i="1"/>
  <c r="O7" i="1"/>
  <c r="P7" i="1" s="1"/>
  <c r="F7" i="1"/>
  <c r="E7" i="1"/>
  <c r="CG6" i="1"/>
  <c r="CH6" i="1" s="1"/>
  <c r="BX6" i="1"/>
  <c r="BW6" i="1"/>
  <c r="BM6" i="1"/>
  <c r="BN6" i="1" s="1"/>
  <c r="BD6" i="1"/>
  <c r="BC6" i="1"/>
  <c r="AS6" i="1"/>
  <c r="AT6" i="1" s="1"/>
  <c r="AJ6" i="1"/>
  <c r="AI6" i="1"/>
  <c r="Y6" i="1"/>
  <c r="Z6" i="1" s="1"/>
  <c r="P6" i="1"/>
  <c r="O6" i="1"/>
  <c r="E6" i="1"/>
  <c r="F6" i="1" s="1"/>
  <c r="CH5" i="1"/>
  <c r="CG5" i="1"/>
  <c r="BW5" i="1"/>
  <c r="BX5" i="1" s="1"/>
  <c r="BN5" i="1"/>
  <c r="BM5" i="1"/>
  <c r="BC5" i="1"/>
  <c r="BD5" i="1" s="1"/>
  <c r="AT5" i="1"/>
  <c r="AS5" i="1"/>
  <c r="AI5" i="1"/>
  <c r="AJ5" i="1" s="1"/>
  <c r="Z5" i="1"/>
  <c r="Y5" i="1"/>
  <c r="O5" i="1"/>
  <c r="P5" i="1" s="1"/>
  <c r="F5" i="1"/>
  <c r="E5" i="1"/>
  <c r="CN4" i="1"/>
  <c r="CM4" i="1"/>
  <c r="CL4" i="1"/>
  <c r="CG4" i="1"/>
  <c r="CH4" i="1" s="1"/>
  <c r="CD4" i="1"/>
  <c r="CC4" i="1"/>
  <c r="CB4" i="1"/>
  <c r="BW4" i="1"/>
  <c r="BX4" i="1" s="1"/>
  <c r="BT4" i="1"/>
  <c r="BS4" i="1"/>
  <c r="BR4" i="1"/>
  <c r="BM4" i="1"/>
  <c r="BN4" i="1" s="1"/>
  <c r="BJ4" i="1"/>
  <c r="BI4" i="1"/>
  <c r="BH4" i="1"/>
  <c r="BD4" i="1"/>
  <c r="BC4" i="1"/>
  <c r="AZ4" i="1"/>
  <c r="AY4" i="1"/>
  <c r="AX4" i="1"/>
  <c r="AT4" i="1"/>
  <c r="AS4" i="1"/>
  <c r="AP4" i="1"/>
  <c r="AO4" i="1"/>
  <c r="AN4" i="1"/>
  <c r="AI4" i="1"/>
  <c r="AJ4" i="1" s="1"/>
  <c r="AF4" i="1"/>
  <c r="AE4" i="1"/>
  <c r="AD4" i="1"/>
  <c r="Y4" i="1"/>
  <c r="Z4" i="1" s="1"/>
  <c r="V4" i="1"/>
  <c r="U4" i="1"/>
  <c r="T4" i="1"/>
  <c r="P4" i="1"/>
  <c r="O4" i="1"/>
  <c r="L4" i="1"/>
  <c r="K4" i="1"/>
  <c r="J4" i="1"/>
  <c r="E4" i="1"/>
  <c r="F4" i="1" s="1"/>
</calcChain>
</file>

<file path=xl/sharedStrings.xml><?xml version="1.0" encoding="utf-8"?>
<sst xmlns="http://schemas.openxmlformats.org/spreadsheetml/2006/main" count="2129" uniqueCount="528">
  <si>
    <r>
      <t xml:space="preserve">Faixa Etária - </t>
    </r>
    <r>
      <rPr>
        <b/>
        <sz val="8.5"/>
        <color rgb="FFFF0000"/>
        <rFont val="Arial Nova"/>
        <family val="2"/>
      </rPr>
      <t>Feminina</t>
    </r>
  </si>
  <si>
    <r>
      <t xml:space="preserve">Faixa Etária - </t>
    </r>
    <r>
      <rPr>
        <b/>
        <sz val="9"/>
        <color rgb="FFFF0000"/>
        <rFont val="Arial Nova"/>
        <family val="2"/>
      </rPr>
      <t>Masculino</t>
    </r>
  </si>
  <si>
    <t>ano</t>
  </si>
  <si>
    <t>Norte</t>
  </si>
  <si>
    <t xml:space="preserve">Geral </t>
  </si>
  <si>
    <t xml:space="preserve">Feminina </t>
  </si>
  <si>
    <t xml:space="preserve">Masculina </t>
  </si>
  <si>
    <t xml:space="preserve">60 - 69 </t>
  </si>
  <si>
    <t xml:space="preserve">70 - 79 </t>
  </si>
  <si>
    <t xml:space="preserve">80 ou mais </t>
  </si>
  <si>
    <t>Estados</t>
  </si>
  <si>
    <t>população</t>
  </si>
  <si>
    <t>óbito</t>
  </si>
  <si>
    <t>Mortalidade /100000 hab.</t>
  </si>
  <si>
    <t>logaritmo natural</t>
  </si>
  <si>
    <t>coeficiente regressão</t>
  </si>
  <si>
    <t>R2 ajustado</t>
  </si>
  <si>
    <t>p- valor</t>
  </si>
  <si>
    <t>IC95% minimo</t>
  </si>
  <si>
    <t>IC95% máximo</t>
  </si>
  <si>
    <t>VPA%</t>
  </si>
  <si>
    <t>População</t>
  </si>
  <si>
    <t>Logaritimo natural</t>
  </si>
  <si>
    <t>VPA %</t>
  </si>
  <si>
    <t>Acre</t>
  </si>
  <si>
    <t>&lt;0.0001</t>
  </si>
  <si>
    <t>Amapá</t>
  </si>
  <si>
    <t>Amazonas</t>
  </si>
  <si>
    <t>Pará</t>
  </si>
  <si>
    <t>Rondônia</t>
  </si>
  <si>
    <t>Roraima</t>
  </si>
  <si>
    <t>Tocantins</t>
  </si>
  <si>
    <r>
      <t xml:space="preserve">Regressão Log-linear </t>
    </r>
    <r>
      <rPr>
        <b/>
        <sz val="9"/>
        <color rgb="FFC00000"/>
        <rFont val="Arial Nova"/>
        <family val="2"/>
      </rPr>
      <t>Acre</t>
    </r>
    <r>
      <rPr>
        <b/>
        <sz val="9"/>
        <color theme="1"/>
        <rFont val="Arial Nova"/>
        <family val="2"/>
      </rPr>
      <t xml:space="preserve"> - mortalidade geral </t>
    </r>
  </si>
  <si>
    <t xml:space="preserve">Regressão Log-linear Acre - mortalidade geral feminina </t>
  </si>
  <si>
    <t xml:space="preserve">Regressão Log-linear Acre - mortalidade geral masculina </t>
  </si>
  <si>
    <t xml:space="preserve">Regressão Log-linear Acre - mortalidade Fem (60-69) </t>
  </si>
  <si>
    <t xml:space="preserve">Regressão Log-linear Acre - mortalidade Fem (70-79) </t>
  </si>
  <si>
    <t xml:space="preserve">Regressão Log-linear Acre - mortalidade Fem (80 ou &gt;) </t>
  </si>
  <si>
    <t xml:space="preserve">Regressão Log-linear Acre - mortalidade Masc (60-69) </t>
  </si>
  <si>
    <t xml:space="preserve">Regressão Log-linear Acre - mortalidade Masc (70-79) </t>
  </si>
  <si>
    <t xml:space="preserve">Regressão Log-linear Acre - mortalidade Masc (80 ou &gt;) </t>
  </si>
  <si>
    <t>Fontes de variação</t>
  </si>
  <si>
    <t>GL</t>
  </si>
  <si>
    <t>SQ</t>
  </si>
  <si>
    <t>QM</t>
  </si>
  <si>
    <t>Regressão</t>
  </si>
  <si>
    <t>Erro</t>
  </si>
  <si>
    <t>Total</t>
  </si>
  <si>
    <t>---</t>
  </si>
  <si>
    <t>F (regressão) =</t>
  </si>
  <si>
    <t>p = 0.0674</t>
  </si>
  <si>
    <t>p = 0.0783</t>
  </si>
  <si>
    <t>p = 0.2499</t>
  </si>
  <si>
    <t>p = 0.0003</t>
  </si>
  <si>
    <t>p = 0.2324</t>
  </si>
  <si>
    <t>p = 0.0312</t>
  </si>
  <si>
    <t>p = 0.0002</t>
  </si>
  <si>
    <t>p = 0.5331</t>
  </si>
  <si>
    <t>p = 0.0337</t>
  </si>
  <si>
    <t>Variável dependente =</t>
  </si>
  <si>
    <t>logaritimo natural</t>
  </si>
  <si>
    <t>Coluna  1</t>
  </si>
  <si>
    <t>Variável independente =</t>
  </si>
  <si>
    <t>ano (1,2,3,4,5,6)</t>
  </si>
  <si>
    <t>Coluna  2</t>
  </si>
  <si>
    <t>Média (X) =</t>
  </si>
  <si>
    <t>Média (Y) =</t>
  </si>
  <si>
    <t>Coef. de Determinação (R2) =</t>
  </si>
  <si>
    <t>R2 (ajustado) =</t>
  </si>
  <si>
    <t>Coeficiente de Correlação =</t>
  </si>
  <si>
    <t>Intercepto (a) =</t>
  </si>
  <si>
    <t>t = 8.4505</t>
  </si>
  <si>
    <t>p = 0.0011</t>
  </si>
  <si>
    <t>t = 8.1584</t>
  </si>
  <si>
    <t>p = 0.0012</t>
  </si>
  <si>
    <t>t = 4.8199</t>
  </si>
  <si>
    <t>p = 0.0085</t>
  </si>
  <si>
    <t>t = -585.9631</t>
  </si>
  <si>
    <t>p &lt; 0.0001</t>
  </si>
  <si>
    <t>t = 6.9514</t>
  </si>
  <si>
    <t>p = 0.0022</t>
  </si>
  <si>
    <t>t = 42.3696</t>
  </si>
  <si>
    <t>t = -885.1999</t>
  </si>
  <si>
    <t>t = 3.7652</t>
  </si>
  <si>
    <t>p = 0.0197</t>
  </si>
  <si>
    <t>t = 26.8043</t>
  </si>
  <si>
    <t>Coef. de Regressão (b) =</t>
  </si>
  <si>
    <t>t = -2.4890</t>
  </si>
  <si>
    <t>p = 0.0675</t>
  </si>
  <si>
    <t>t = -2.3490</t>
  </si>
  <si>
    <t>p = 0.0785</t>
  </si>
  <si>
    <t>t = -1.3436</t>
  </si>
  <si>
    <t>p = 0.2502</t>
  </si>
  <si>
    <t>t = -35.1006</t>
  </si>
  <si>
    <t>t = -1.4046</t>
  </si>
  <si>
    <t>p = 0.2328</t>
  </si>
  <si>
    <t>t = -3.2774</t>
  </si>
  <si>
    <t>p = 0.0305</t>
  </si>
  <si>
    <t>t = -46.7654</t>
  </si>
  <si>
    <t>t = 0.6871</t>
  </si>
  <si>
    <t>p = 0.5298</t>
  </si>
  <si>
    <t>t = -3.1915</t>
  </si>
  <si>
    <t>p = 0.0331</t>
  </si>
  <si>
    <t>IC 95% (a)</t>
  </si>
  <si>
    <t>0.662 a 1.310</t>
  </si>
  <si>
    <t>0.816 a 1.657</t>
  </si>
  <si>
    <t>0.273 a 1.013</t>
  </si>
  <si>
    <t>-2.855 a -2.829</t>
  </si>
  <si>
    <t>2.147 a 5.001</t>
  </si>
  <si>
    <t>5.242 a 5.978</t>
  </si>
  <si>
    <t>-2.852 a -2.834</t>
  </si>
  <si>
    <t>0.670 a 4.428</t>
  </si>
  <si>
    <t>4.708 a 5.796</t>
  </si>
  <si>
    <t>IC 95% (b)</t>
  </si>
  <si>
    <t>-0.158 a 0.009</t>
  </si>
  <si>
    <t>-0.199 a 0.017</t>
  </si>
  <si>
    <t>-0.141 a 0.049</t>
  </si>
  <si>
    <t>-0.047 a -0.040</t>
  </si>
  <si>
    <t>-0.552 a 0.181</t>
  </si>
  <si>
    <t>-0.206 a -0.017</t>
  </si>
  <si>
    <t>-0.041 a -0.036</t>
  </si>
  <si>
    <t>-0.363 a 0.602</t>
  </si>
  <si>
    <t>-0.300 a -0.021</t>
  </si>
  <si>
    <t>Equação</t>
  </si>
  <si>
    <t>Y' = a + bX</t>
  </si>
  <si>
    <r>
      <t xml:space="preserve">Regressão Log-linear </t>
    </r>
    <r>
      <rPr>
        <b/>
        <sz val="9"/>
        <color rgb="FFC00000"/>
        <rFont val="Arial Nova"/>
        <family val="2"/>
      </rPr>
      <t>Amapá</t>
    </r>
    <r>
      <rPr>
        <b/>
        <sz val="9"/>
        <color theme="1"/>
        <rFont val="Arial Nova"/>
        <family val="2"/>
      </rPr>
      <t xml:space="preserve">- mortalidade geral </t>
    </r>
  </si>
  <si>
    <r>
      <t xml:space="preserve">Regressão Log-linear </t>
    </r>
    <r>
      <rPr>
        <b/>
        <sz val="9"/>
        <color rgb="FFC00000"/>
        <rFont val="Arial Nova"/>
        <family val="2"/>
      </rPr>
      <t>Amapá</t>
    </r>
    <r>
      <rPr>
        <b/>
        <sz val="9"/>
        <color theme="1"/>
        <rFont val="Arial Nova"/>
        <family val="2"/>
      </rPr>
      <t>- mortalidade feminino</t>
    </r>
  </si>
  <si>
    <r>
      <t xml:space="preserve">Regressão Log-linear </t>
    </r>
    <r>
      <rPr>
        <b/>
        <sz val="9"/>
        <color rgb="FFC00000"/>
        <rFont val="Arial Nova"/>
        <family val="2"/>
      </rPr>
      <t>Amapá</t>
    </r>
    <r>
      <rPr>
        <b/>
        <sz val="9"/>
        <color theme="1"/>
        <rFont val="Arial Nova"/>
        <family val="2"/>
      </rPr>
      <t>- mortalidade masculino</t>
    </r>
  </si>
  <si>
    <t xml:space="preserve">Regressão Log-linear Amapá - mortalidade Fem (60-69) </t>
  </si>
  <si>
    <t xml:space="preserve">Regressão Log-linear Amapá - mortalidade Fem (70-79) </t>
  </si>
  <si>
    <t xml:space="preserve">Regressão Log-linear Amapá - mortalidade Fem (80 ou &gt;) </t>
  </si>
  <si>
    <t xml:space="preserve">Regressão Log-linear Amapá - mortalidade Masc (60-69) </t>
  </si>
  <si>
    <t xml:space="preserve">Regressão Log-linear Amapá - mortalidade Masc (70-79) </t>
  </si>
  <si>
    <t xml:space="preserve">Regressão Log-linear Amapá - mortalidade Masc (80 ou &gt;) </t>
  </si>
  <si>
    <t>p = 0.0130</t>
  </si>
  <si>
    <t>p = 0.0721</t>
  </si>
  <si>
    <t>p = 0.5733</t>
  </si>
  <si>
    <t>p = 0.5211</t>
  </si>
  <si>
    <t>p = 0.1422</t>
  </si>
  <si>
    <t>p = 0.0481</t>
  </si>
  <si>
    <t>p = 0.5157</t>
  </si>
  <si>
    <t>p = 0.1313</t>
  </si>
  <si>
    <t>t = 3.4009</t>
  </si>
  <si>
    <t>p = 0.0272</t>
  </si>
  <si>
    <t>t = 2.1563</t>
  </si>
  <si>
    <t>p = 0.0972</t>
  </si>
  <si>
    <t>t = 0.2763</t>
  </si>
  <si>
    <t>p = 0.7960</t>
  </si>
  <si>
    <t>t = 0.6892</t>
  </si>
  <si>
    <t>p = 0.5286</t>
  </si>
  <si>
    <t>t = 7.8555</t>
  </si>
  <si>
    <t>p = 0.0014</t>
  </si>
  <si>
    <t>t = 13.5435</t>
  </si>
  <si>
    <t>t = -2.7154</t>
  </si>
  <si>
    <t>p = 0.0532</t>
  </si>
  <si>
    <t>t = 1.7677</t>
  </si>
  <si>
    <t>p = 0.1518</t>
  </si>
  <si>
    <t>t = 17.6342</t>
  </si>
  <si>
    <t>t = 4.3863</t>
  </si>
  <si>
    <t>p = 0.0118</t>
  </si>
  <si>
    <t>t = 1.4029</t>
  </si>
  <si>
    <t>p = 0.2332</t>
  </si>
  <si>
    <t>t = 2.4257</t>
  </si>
  <si>
    <t>p = 0.0723</t>
  </si>
  <si>
    <t>t = -0.8902</t>
  </si>
  <si>
    <t>p = 0.4236</t>
  </si>
  <si>
    <t>t = 0.7087</t>
  </si>
  <si>
    <t>p = 0.5176</t>
  </si>
  <si>
    <t>t = 1.8195</t>
  </si>
  <si>
    <t>p = 0.1429</t>
  </si>
  <si>
    <t>t = 2.8188</t>
  </si>
  <si>
    <t>p = 0.0478</t>
  </si>
  <si>
    <t>t = -0.7768</t>
  </si>
  <si>
    <t>p = 0.4806</t>
  </si>
  <si>
    <t>t = 1.8886</t>
  </si>
  <si>
    <t>p = 0.1319</t>
  </si>
  <si>
    <t>0.067 a 0.666</t>
  </si>
  <si>
    <t>-0.162 a 1.287</t>
  </si>
  <si>
    <t>-0.651 a 0.795</t>
  </si>
  <si>
    <t>-5.553 a 9.221</t>
  </si>
  <si>
    <t>1.994 a 4.173</t>
  </si>
  <si>
    <t>3.608 a 5.469</t>
  </si>
  <si>
    <t>-8.844 a 0.098</t>
  </si>
  <si>
    <t>-2.148 a 9.678</t>
  </si>
  <si>
    <t>4.001 a 5.495</t>
  </si>
  <si>
    <t>0.045 a 0.198</t>
  </si>
  <si>
    <t>-0.092 a 0.280</t>
  </si>
  <si>
    <t>-0.023 a 0.348</t>
  </si>
  <si>
    <t>-2.505 a 1.289</t>
  </si>
  <si>
    <t>-0.208 a 0.351</t>
  </si>
  <si>
    <t>-0.082 a 0.395</t>
  </si>
  <si>
    <t>0.018 a 2.314</t>
  </si>
  <si>
    <t>-1.943 a 1.093</t>
  </si>
  <si>
    <t>-0.061 a 0.322</t>
  </si>
  <si>
    <r>
      <t xml:space="preserve">Regressão Log-linear </t>
    </r>
    <r>
      <rPr>
        <b/>
        <sz val="9"/>
        <color rgb="FFC00000"/>
        <rFont val="Arial Nova"/>
        <family val="2"/>
      </rPr>
      <t>Amazonas</t>
    </r>
    <r>
      <rPr>
        <b/>
        <sz val="9"/>
        <color theme="1"/>
        <rFont val="Arial Nova"/>
        <family val="2"/>
      </rPr>
      <t xml:space="preserve">- mortalidade geral </t>
    </r>
  </si>
  <si>
    <r>
      <t xml:space="preserve">Regressão Log-linear </t>
    </r>
    <r>
      <rPr>
        <b/>
        <sz val="9"/>
        <color rgb="FFC00000"/>
        <rFont val="Arial Nova"/>
        <family val="2"/>
      </rPr>
      <t>Amazonas</t>
    </r>
    <r>
      <rPr>
        <b/>
        <sz val="9"/>
        <color theme="1"/>
        <rFont val="Arial Nova"/>
        <family val="2"/>
      </rPr>
      <t>- mortalidade feminino</t>
    </r>
  </si>
  <si>
    <r>
      <t xml:space="preserve">Regressão Log-linear </t>
    </r>
    <r>
      <rPr>
        <b/>
        <sz val="9"/>
        <color rgb="FFC00000"/>
        <rFont val="Arial Nova"/>
        <family val="2"/>
      </rPr>
      <t>Amazonas</t>
    </r>
    <r>
      <rPr>
        <b/>
        <sz val="9"/>
        <color theme="1"/>
        <rFont val="Arial Nova"/>
        <family val="2"/>
      </rPr>
      <t>- mortalidade masculino</t>
    </r>
  </si>
  <si>
    <t xml:space="preserve">Regressão Log-linear Amazonas - mortalidade Fem (60-69) </t>
  </si>
  <si>
    <t xml:space="preserve">Regressão Log-linear Amazonas - mortalidade Fem (70-79) </t>
  </si>
  <si>
    <t xml:space="preserve">Regressão Log-linear Amazonas - mortalidade Fem (80 ou &gt;) </t>
  </si>
  <si>
    <t xml:space="preserve">Regressão Log-linear Amazonas - mortalidade Masc (60-69) </t>
  </si>
  <si>
    <t xml:space="preserve">Regressão Log-linear Amazonas - mortalidade Masc (70-79) </t>
  </si>
  <si>
    <t xml:space="preserve">Regressão Log-linear Amazonas- mortalidade Masc (80 ou &gt;) </t>
  </si>
  <si>
    <t>p = 0.0047</t>
  </si>
  <si>
    <t>p = 0.0199</t>
  </si>
  <si>
    <t>p = 0.5814</t>
  </si>
  <si>
    <t>p = 0.0488</t>
  </si>
  <si>
    <t>p = 0.0167</t>
  </si>
  <si>
    <t>p = 0.9015</t>
  </si>
  <si>
    <t>p = 0.0180</t>
  </si>
  <si>
    <t>p = 0.0602</t>
  </si>
  <si>
    <t>t = 9.5141</t>
  </si>
  <si>
    <t>p = 0.0007</t>
  </si>
  <si>
    <t>t = 14.7606</t>
  </si>
  <si>
    <t>t = 0.8064</t>
  </si>
  <si>
    <t>p = 0.4652</t>
  </si>
  <si>
    <t>t = 5.2274</t>
  </si>
  <si>
    <t>p = 0.0064</t>
  </si>
  <si>
    <t>t = 13.9414</t>
  </si>
  <si>
    <t>t = 88.7813</t>
  </si>
  <si>
    <t>t = 0.9009</t>
  </si>
  <si>
    <t>p = 0.4185</t>
  </si>
  <si>
    <t>t = 16.9101</t>
  </si>
  <si>
    <t>t = 19.6014</t>
  </si>
  <si>
    <t>t = 6.2261</t>
  </si>
  <si>
    <t>p = 0.0034</t>
  </si>
  <si>
    <t>t = 5.0567</t>
  </si>
  <si>
    <t>p = 0.0072</t>
  </si>
  <si>
    <t>t = 3.8104</t>
  </si>
  <si>
    <t>p = 0.0189</t>
  </si>
  <si>
    <t>t = -0.9070</t>
  </si>
  <si>
    <t>p = 0.4157</t>
  </si>
  <si>
    <t>t = 2.8033</t>
  </si>
  <si>
    <t>p = 0.0486</t>
  </si>
  <si>
    <t>t = 4.0346</t>
  </si>
  <si>
    <t>p = 0.0157</t>
  </si>
  <si>
    <t>t = 0.1258</t>
  </si>
  <si>
    <t>p = 0.9060</t>
  </si>
  <si>
    <t>t = 3.9379</t>
  </si>
  <si>
    <t>p = 0.0170</t>
  </si>
  <si>
    <t>t = 2.5967</t>
  </si>
  <si>
    <t>0.501 a 0.914</t>
  </si>
  <si>
    <t>0.865 a 1.266</t>
  </si>
  <si>
    <t>-0.347 a 0.631</t>
  </si>
  <si>
    <t>0.656 a 2.140</t>
  </si>
  <si>
    <t>2.389 a 3.577</t>
  </si>
  <si>
    <t>5.218 a 5.555</t>
  </si>
  <si>
    <t>-1.045 a 2.049</t>
  </si>
  <si>
    <t>2.412 a 3.360</t>
  </si>
  <si>
    <t>3.900 a 5.188</t>
  </si>
  <si>
    <t>0.066 a 0.172</t>
  </si>
  <si>
    <t>0.042 a 0.145</t>
  </si>
  <si>
    <t>0.047 a 0.298</t>
  </si>
  <si>
    <t>-0.253 a 0.128</t>
  </si>
  <si>
    <t>0.001 a 0.307</t>
  </si>
  <si>
    <t>0.020 a 0.106</t>
  </si>
  <si>
    <t>-0.379 a 0.415</t>
  </si>
  <si>
    <t>0.051 a 0.294</t>
  </si>
  <si>
    <t>-0.011 a 0.320</t>
  </si>
  <si>
    <r>
      <t xml:space="preserve">Regressão Log-linear </t>
    </r>
    <r>
      <rPr>
        <sz val="9"/>
        <color rgb="FFC00000"/>
        <rFont val="Arial Nova"/>
        <family val="2"/>
      </rPr>
      <t>Pará</t>
    </r>
    <r>
      <rPr>
        <sz val="9"/>
        <color theme="1"/>
        <rFont val="Arial Nova"/>
        <family val="2"/>
      </rPr>
      <t xml:space="preserve"> - mortalidade geral </t>
    </r>
  </si>
  <si>
    <r>
      <t xml:space="preserve">Regressão Log-linear </t>
    </r>
    <r>
      <rPr>
        <sz val="9"/>
        <color rgb="FFC00000"/>
        <rFont val="Arial Nova"/>
        <family val="2"/>
      </rPr>
      <t>Pará</t>
    </r>
    <r>
      <rPr>
        <sz val="9"/>
        <color theme="1"/>
        <rFont val="Arial Nova"/>
        <family val="2"/>
      </rPr>
      <t>- mortalidade feminino</t>
    </r>
  </si>
  <si>
    <r>
      <t xml:space="preserve">Regressão Log-linear </t>
    </r>
    <r>
      <rPr>
        <sz val="9"/>
        <color rgb="FFC00000"/>
        <rFont val="Arial Nova"/>
        <family val="2"/>
      </rPr>
      <t>Pará</t>
    </r>
    <r>
      <rPr>
        <sz val="9"/>
        <color theme="1"/>
        <rFont val="Arial Nova"/>
        <family val="2"/>
      </rPr>
      <t>- mortalidade masculino</t>
    </r>
  </si>
  <si>
    <r>
      <t xml:space="preserve">Regressão Log-linear </t>
    </r>
    <r>
      <rPr>
        <sz val="9"/>
        <color rgb="FFC00000"/>
        <rFont val="Arial Nova"/>
        <family val="2"/>
      </rPr>
      <t>Pará</t>
    </r>
    <r>
      <rPr>
        <sz val="9"/>
        <color theme="1"/>
        <rFont val="Arial Nova"/>
        <family val="2"/>
      </rPr>
      <t xml:space="preserve"> - mortalidade Fem (60-69) </t>
    </r>
  </si>
  <si>
    <r>
      <t xml:space="preserve">Regressão Log-linear </t>
    </r>
    <r>
      <rPr>
        <sz val="9"/>
        <color rgb="FFC00000"/>
        <rFont val="Arial Nova"/>
        <family val="2"/>
      </rPr>
      <t>Pará</t>
    </r>
    <r>
      <rPr>
        <sz val="9"/>
        <color theme="1"/>
        <rFont val="Arial Nova"/>
        <family val="2"/>
      </rPr>
      <t xml:space="preserve"> - mortalidade Fem (70-79) </t>
    </r>
  </si>
  <si>
    <r>
      <t xml:space="preserve">Regressão Log-linear </t>
    </r>
    <r>
      <rPr>
        <sz val="9"/>
        <color rgb="FFC00000"/>
        <rFont val="Arial Nova"/>
        <family val="2"/>
      </rPr>
      <t>Pará</t>
    </r>
    <r>
      <rPr>
        <sz val="9"/>
        <color theme="1"/>
        <rFont val="Arial Nova"/>
        <family val="2"/>
      </rPr>
      <t xml:space="preserve"> - mortalidade Fem (80 ou &gt;) </t>
    </r>
  </si>
  <si>
    <t xml:space="preserve">Regressão Log-linear Pará - mortalidade Masc (60-69) </t>
  </si>
  <si>
    <t xml:space="preserve">Regressão Log-linear Pará - mortalidade Masc (70-79) </t>
  </si>
  <si>
    <t xml:space="preserve">Regressão Log-linear Pará- mortalidade Masc (80 ou &gt;) </t>
  </si>
  <si>
    <t>p = 0.0610</t>
  </si>
  <si>
    <t>p = 0.0715</t>
  </si>
  <si>
    <t>p = 0.0745</t>
  </si>
  <si>
    <t>p = 0.6571</t>
  </si>
  <si>
    <t>p = 0.5300</t>
  </si>
  <si>
    <t>p = 0.2535</t>
  </si>
  <si>
    <t>p = 0.9759</t>
  </si>
  <si>
    <t>p = 0.0791</t>
  </si>
  <si>
    <t>p = 0.6180</t>
  </si>
  <si>
    <t>t = 6.2857</t>
  </si>
  <si>
    <t>p = 0.0033</t>
  </si>
  <si>
    <t>t = 7.0066</t>
  </si>
  <si>
    <t>t = 4.7281</t>
  </si>
  <si>
    <t>p = 0.0091</t>
  </si>
  <si>
    <t>t = 4.2804</t>
  </si>
  <si>
    <t>p = 0.0128</t>
  </si>
  <si>
    <t>t = 12.8995</t>
  </si>
  <si>
    <t>t = 26.7548</t>
  </si>
  <si>
    <t>t = 3.0805</t>
  </si>
  <si>
    <t>p = 0.0369</t>
  </si>
  <si>
    <t>t = 26.0239</t>
  </si>
  <si>
    <t>t = 31.0258</t>
  </si>
  <si>
    <t>t = 2.5841</t>
  </si>
  <si>
    <t>t = 2.4329</t>
  </si>
  <si>
    <t>p = 0.0717</t>
  </si>
  <si>
    <t>t = 2.3947</t>
  </si>
  <si>
    <t>p = 0.0747</t>
  </si>
  <si>
    <t>t = 0.4800</t>
  </si>
  <si>
    <t>p = 0.6563</t>
  </si>
  <si>
    <t>t = 0.8041</t>
  </si>
  <si>
    <t>p = 0.4664</t>
  </si>
  <si>
    <t>t = 1.3317</t>
  </si>
  <si>
    <t>p = 0.2537</t>
  </si>
  <si>
    <t>t = -0.0303</t>
  </si>
  <si>
    <t>p = 0.9773</t>
  </si>
  <si>
    <t>t = 2.3399</t>
  </si>
  <si>
    <t>p = 0.0793</t>
  </si>
  <si>
    <t>t = 0.9859</t>
  </si>
  <si>
    <t>p = 0.3800</t>
  </si>
  <si>
    <t>0.479 a 1.237</t>
  </si>
  <si>
    <t>0.640 a 1.481</t>
  </si>
  <si>
    <t>0.255 a 0.980</t>
  </si>
  <si>
    <t>0.296 a 1.390</t>
  </si>
  <si>
    <t>2.353 a 3.644</t>
  </si>
  <si>
    <t>4.668 a 5.749</t>
  </si>
  <si>
    <t>0.089 a 1.720</t>
  </si>
  <si>
    <t>2.653 a 3.287</t>
  </si>
  <si>
    <t>4.496 a 5.379</t>
  </si>
  <si>
    <t>-0.007 a 0.188</t>
  </si>
  <si>
    <t>-0.013 a 0.202</t>
  </si>
  <si>
    <t>-0.013 a 0.173</t>
  </si>
  <si>
    <t>-0.116 a 0.165</t>
  </si>
  <si>
    <t>-0.118 a 0.214</t>
  </si>
  <si>
    <t>-0.072 a 0.205</t>
  </si>
  <si>
    <t>-0.212 a 0.207</t>
  </si>
  <si>
    <t>-0.013 a 0.150</t>
  </si>
  <si>
    <t>-0.073 a 0.154</t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</si>
  <si>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 xml:space="preserve"> - mortalidade geral </t>
    </r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</si>
  <si>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 xml:space="preserve"> - mortalidade feminino</t>
    </r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</si>
  <si>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>- mortalidade masculino</t>
    </r>
  </si>
  <si>
    <t xml:space="preserve">Regressão Log-linear Rondônia- mortalidade Fem (60-69) </t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</si>
  <si>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 xml:space="preserve"> - mortalidade Fem (70-79) </t>
    </r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</si>
  <si>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 xml:space="preserve"> - mortalidade Fem (80 ou &gt;) </t>
    </r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</si>
  <si>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 xml:space="preserve"> - mortalidade Masc (60-69) </t>
    </r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</si>
  <si>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 xml:space="preserve"> - mortalidade Masc (70-79) </t>
    </r>
  </si>
  <si>
    <r>
      <t xml:space="preserve">Regressão Log-linear </t>
    </r>
    <r>
      <rPr>
        <sz val="9"/>
        <color rgb="FFFF0000"/>
        <rFont val="Arial Nova"/>
        <family val="2"/>
      </rPr>
      <t>Rondônia</t>
    </r>
    <r>
      <rPr>
        <sz val="9"/>
        <color theme="1"/>
        <rFont val="Arial Nova"/>
        <family val="2"/>
      </rPr>
      <t xml:space="preserve">- mortalidade Masc (80 ou &gt;) </t>
    </r>
  </si>
  <si>
    <t>p = 0.1504</t>
  </si>
  <si>
    <t>p = 0.1894</t>
  </si>
  <si>
    <t>p = 0.6239</t>
  </si>
  <si>
    <t>p = 0.0313</t>
  </si>
  <si>
    <t>p = 0.9440</t>
  </si>
  <si>
    <t>p = 0.5771</t>
  </si>
  <si>
    <t>p = 0.9719</t>
  </si>
  <si>
    <t>p = 0.7268</t>
  </si>
  <si>
    <t>p = 0.7572</t>
  </si>
  <si>
    <t>t = 9.1644</t>
  </si>
  <si>
    <t>p = 0.0008</t>
  </si>
  <si>
    <t>t = 5.0724</t>
  </si>
  <si>
    <t>p = 0.0071</t>
  </si>
  <si>
    <t>t = 7.5230</t>
  </si>
  <si>
    <t>p = 0.0017</t>
  </si>
  <si>
    <t>t = -3.1626</t>
  </si>
  <si>
    <t>p = 0.0341</t>
  </si>
  <si>
    <t>t = 10.7739</t>
  </si>
  <si>
    <t>t = 23.1487</t>
  </si>
  <si>
    <t>t = 2.7103</t>
  </si>
  <si>
    <t>p = 0.0535</t>
  </si>
  <si>
    <t>t = 9.1217</t>
  </si>
  <si>
    <t>t = 22.5416</t>
  </si>
  <si>
    <t>t = 1.7718</t>
  </si>
  <si>
    <t>p = 0.1510</t>
  </si>
  <si>
    <t>t = 1.5761</t>
  </si>
  <si>
    <t>p = 0.1900</t>
  </si>
  <si>
    <t>t = 0.5337</t>
  </si>
  <si>
    <t>p = 0.6218</t>
  </si>
  <si>
    <t>t = 3.2723</t>
  </si>
  <si>
    <t>p = 0.0307</t>
  </si>
  <si>
    <t>t = 0.0728</t>
  </si>
  <si>
    <t>p = 0.9454</t>
  </si>
  <si>
    <t>t = 0.8980</t>
  </si>
  <si>
    <t>p = 0.4199</t>
  </si>
  <si>
    <t>t = -0.0360</t>
  </si>
  <si>
    <t>p = 0.9730</t>
  </si>
  <si>
    <t>t = 0.3706</t>
  </si>
  <si>
    <t>p = 0.7297</t>
  </si>
  <si>
    <t>t = -0.3246</t>
  </si>
  <si>
    <t>p = 0.7618</t>
  </si>
  <si>
    <t>0.907 a 1.695</t>
  </si>
  <si>
    <t>0.554 a 1.895</t>
  </si>
  <si>
    <t>0.861 a 1.868</t>
  </si>
  <si>
    <t>-8.841 a -0.575</t>
  </si>
  <si>
    <t>2.810 a 4.761</t>
  </si>
  <si>
    <t>4.796 a 6.104</t>
  </si>
  <si>
    <t>-0.039 a 3.220</t>
  </si>
  <si>
    <t>2.343 a 4.394</t>
  </si>
  <si>
    <t>4.947 a 6.336</t>
  </si>
  <si>
    <t>-0.037 a 0.166</t>
  </si>
  <si>
    <t>-0.074 a 0.270</t>
  </si>
  <si>
    <t>-0.104 a 0.154</t>
  </si>
  <si>
    <t>0.190 a 2.312</t>
  </si>
  <si>
    <t>-0.244 a 0.257</t>
  </si>
  <si>
    <t>-0.114 a 0.222</t>
  </si>
  <si>
    <t>-0.424 a 0.413</t>
  </si>
  <si>
    <t>-0.228 a 0.298</t>
  </si>
  <si>
    <t>-0.199 a 0.158</t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</si>
  <si>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 - mortalidade geral 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</si>
  <si>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 - mortalidade feminino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</si>
  <si>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>- mortalidade masculino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</si>
  <si>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 - mortalidade Fem (60-69) 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</si>
  <si>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- mortalidade Fem (70-79) 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</si>
  <si>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 - mortalidade Fem (80 ou &gt;) 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</si>
  <si>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 - mortalidade Masc (60-69) 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</si>
  <si>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- mortalidade Masc (70-79) </t>
    </r>
  </si>
  <si>
    <r>
      <t xml:space="preserve">Regressão Log-linear </t>
    </r>
    <r>
      <rPr>
        <sz val="9"/>
        <color rgb="FFFF0000"/>
        <rFont val="Arial Nova"/>
        <family val="2"/>
      </rPr>
      <t>Roraima</t>
    </r>
    <r>
      <rPr>
        <sz val="9"/>
        <color theme="1"/>
        <rFont val="Arial Nova"/>
        <family val="2"/>
      </rPr>
      <t xml:space="preserve">- mortalidade Masc (80 ou &gt;) </t>
    </r>
  </si>
  <si>
    <t>p = 0.6645</t>
  </si>
  <si>
    <t>p = 0.8351</t>
  </si>
  <si>
    <t>p = 0.6464</t>
  </si>
  <si>
    <t>p = 0.6813</t>
  </si>
  <si>
    <t>p = 0.5048</t>
  </si>
  <si>
    <t>p = 0.0361</t>
  </si>
  <si>
    <t>p = 0.5303</t>
  </si>
  <si>
    <t>p = 0.9585</t>
  </si>
  <si>
    <t>t = 3.2258</t>
  </si>
  <si>
    <t>p = 0.0321</t>
  </si>
  <si>
    <t>t = 3.6489</t>
  </si>
  <si>
    <t>p = 0.0218</t>
  </si>
  <si>
    <t>t = 1.9836</t>
  </si>
  <si>
    <t>p = 0.1182</t>
  </si>
  <si>
    <t>t = -0.5429</t>
  </si>
  <si>
    <t>p = 0.6160</t>
  </si>
  <si>
    <t>t = 7.0169</t>
  </si>
  <si>
    <t>t = 13.2133</t>
  </si>
  <si>
    <t>t = 3.1342</t>
  </si>
  <si>
    <t>p = 0.0350</t>
  </si>
  <si>
    <t>t = 1.9393</t>
  </si>
  <si>
    <t>p = 0.1244</t>
  </si>
  <si>
    <t>t = 6.3959</t>
  </si>
  <si>
    <t>p = 0.0031</t>
  </si>
  <si>
    <t>t = -0.4682</t>
  </si>
  <si>
    <t>p = 0.6640</t>
  </si>
  <si>
    <t>t = -0.2124</t>
  </si>
  <si>
    <t>p = 0.8421</t>
  </si>
  <si>
    <t>t = -0.7185</t>
  </si>
  <si>
    <t>p = 0.5122</t>
  </si>
  <si>
    <t>t = 0.4971</t>
  </si>
  <si>
    <t>p = 0.6452</t>
  </si>
  <si>
    <t>t = -0.4416</t>
  </si>
  <si>
    <t>p = 0.6816</t>
  </si>
  <si>
    <t>t = -0.7384</t>
  </si>
  <si>
    <t>p = 0.5012</t>
  </si>
  <si>
    <t>t = -3.1178</t>
  </si>
  <si>
    <t>p = 0.0356</t>
  </si>
  <si>
    <t>t = -0.8047</t>
  </si>
  <si>
    <t>p = 0.4661</t>
  </si>
  <si>
    <t>t = -0.0542</t>
  </si>
  <si>
    <t>p = 0.9594</t>
  </si>
  <si>
    <t>0.137 a 1.826</t>
  </si>
  <si>
    <t>0.274 a 2.019</t>
  </si>
  <si>
    <t>-0.313 a 1.880</t>
  </si>
  <si>
    <t>-8.342 a 5.613</t>
  </si>
  <si>
    <t>2.372 a 5.478</t>
  </si>
  <si>
    <t>4.545 a 6.963</t>
  </si>
  <si>
    <t>0.496 a 8.184</t>
  </si>
  <si>
    <t>-1.828 a 10.301</t>
  </si>
  <si>
    <t>2.675 a 6.777</t>
  </si>
  <si>
    <t>-0.253 a 0.180</t>
  </si>
  <si>
    <t>-0.241 a 0.207</t>
  </si>
  <si>
    <t>-0.354 a 0.209</t>
  </si>
  <si>
    <t>-1.471 a 2.113</t>
  </si>
  <si>
    <t>-0.462 a 0.335</t>
  </si>
  <si>
    <t>-0.393 a 0.228</t>
  </si>
  <si>
    <t>-2.096 a -0.122</t>
  </si>
  <si>
    <t>-2.009 a 1.106</t>
  </si>
  <si>
    <t>-0.537 a 0.516</t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</si>
  <si>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 - mortalidade geral 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</si>
  <si>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 - mortalidade feminino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</si>
  <si>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>- mortalidade masculino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</si>
  <si>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 - mortalidade Fem (60-69) 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</si>
  <si>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- mortalidade Fem (70-79) 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</si>
  <si>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 - mortalidade Fem (80 ou &gt;) 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</si>
  <si>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 - mortalidade Masc (60-69) 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</si>
  <si>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- mortalidade Masc (70-79) </t>
    </r>
  </si>
  <si>
    <r>
      <t xml:space="preserve">Regressão Log-linear </t>
    </r>
    <r>
      <rPr>
        <sz val="9"/>
        <color rgb="FFFF0000"/>
        <rFont val="Arial Nova"/>
        <family val="2"/>
      </rPr>
      <t>Tocantins</t>
    </r>
    <r>
      <rPr>
        <sz val="9"/>
        <color theme="1"/>
        <rFont val="Arial Nova"/>
        <family val="2"/>
      </rPr>
      <t xml:space="preserve">- mortalidade Masc (80 ou &gt;) </t>
    </r>
  </si>
  <si>
    <t>p = 0.2040</t>
  </si>
  <si>
    <t>p = 0.2076</t>
  </si>
  <si>
    <t>p = 0.2053</t>
  </si>
  <si>
    <t>p = 0.6870</t>
  </si>
  <si>
    <t>p = 0.1283</t>
  </si>
  <si>
    <t>p = 0.7331</t>
  </si>
  <si>
    <t>p = 0.2190</t>
  </si>
  <si>
    <t>p = 0.2833</t>
  </si>
  <si>
    <t>t = 5.3468</t>
  </si>
  <si>
    <t>p = 0.0059</t>
  </si>
  <si>
    <t>t = 5.7587</t>
  </si>
  <si>
    <t>p = 0.0045</t>
  </si>
  <si>
    <t>t = 4.7313</t>
  </si>
  <si>
    <t>t = -0.8416</t>
  </si>
  <si>
    <t>p = 0.4474</t>
  </si>
  <si>
    <t>t = 18.5939</t>
  </si>
  <si>
    <t>t = 19.5501</t>
  </si>
  <si>
    <t>t = 0.0645</t>
  </si>
  <si>
    <t>p = 0.9517</t>
  </si>
  <si>
    <t>t = 16.6650</t>
  </si>
  <si>
    <t>t = 17.2482</t>
  </si>
  <si>
    <t>t = 1.5139</t>
  </si>
  <si>
    <t>p = 0.2045</t>
  </si>
  <si>
    <t>t = 1.4989</t>
  </si>
  <si>
    <t>p = 0.2082</t>
  </si>
  <si>
    <t>t = 1.5085</t>
  </si>
  <si>
    <t>p = 0.2059</t>
  </si>
  <si>
    <t>t = 0.4326</t>
  </si>
  <si>
    <t>p = 0.6876</t>
  </si>
  <si>
    <t>t = -1.9082</t>
  </si>
  <si>
    <t>p = 0.1289</t>
  </si>
  <si>
    <t>t = 1.3316</t>
  </si>
  <si>
    <t>p = 0.2538</t>
  </si>
  <si>
    <t>t = -0.3609</t>
  </si>
  <si>
    <t>p = 0.7364</t>
  </si>
  <si>
    <t>t = -1.4541</t>
  </si>
  <si>
    <t>p = 0.2195</t>
  </si>
  <si>
    <t>t = 1.2387</t>
  </si>
  <si>
    <t>p = 0.2831</t>
  </si>
  <si>
    <t>0.539 a 1.701</t>
  </si>
  <si>
    <t>0.644 a 1.844</t>
  </si>
  <si>
    <t>0.405 a 1.556</t>
  </si>
  <si>
    <t>-10.188 a 5.448</t>
  </si>
  <si>
    <t>3.219 a 4.349</t>
  </si>
  <si>
    <t>4.359 a 5.802</t>
  </si>
  <si>
    <t>-6.921 a 7.251</t>
  </si>
  <si>
    <t>2.901 a 4.061</t>
  </si>
  <si>
    <t>4.004 a 5.540</t>
  </si>
  <si>
    <t>-0.068 a 0.231</t>
  </si>
  <si>
    <t>-0.071 a 0.237</t>
  </si>
  <si>
    <t>-0.067 a 0.228</t>
  </si>
  <si>
    <t>-1.695 a 2.320</t>
  </si>
  <si>
    <t>-0.245 a 0.045</t>
  </si>
  <si>
    <t>-0.096 a 0.274</t>
  </si>
  <si>
    <t>-2.056 a 1.583</t>
  </si>
  <si>
    <t>-0.227 a 0.071</t>
  </si>
  <si>
    <t>-0.109 a 0.285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</si>
</sst>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rial Nova"/>
      <family val="2"/>
    </font>
    <font>
      <b/>
      <sz val="8.5"/>
      <color rgb="FF000000"/>
      <name val="Arial Nova"/>
      <family val="2"/>
    </font>
    <font>
      <b/>
      <sz val="8.5"/>
      <color rgb="FFFF0000"/>
      <name val="Arial Nova"/>
      <family val="2"/>
    </font>
    <font>
      <b/>
      <sz val="9"/>
      <color rgb="FF000000"/>
      <name val="Arial Nova"/>
      <family val="2"/>
    </font>
    <font>
      <b/>
      <sz val="9"/>
      <color rgb="FFFF0000"/>
      <name val="Arial Nova"/>
      <family val="2"/>
    </font>
    <font>
      <b/>
      <sz val="7"/>
      <color rgb="FF000000"/>
      <name val="Arial Nova"/>
      <family val="2"/>
    </font>
    <font>
      <b/>
      <sz val="7"/>
      <color rgb="FF000000"/>
      <name val="Garamond"/>
      <family val="1"/>
    </font>
    <font>
      <b/>
      <sz val="8"/>
      <color theme="1"/>
      <name val="Arial Nova"/>
      <family val="2"/>
    </font>
    <font>
      <b/>
      <sz val="8"/>
      <color theme="1"/>
      <name val="Garamond"/>
      <family val="1"/>
    </font>
    <font>
      <b/>
      <sz val="9"/>
      <color theme="1"/>
      <name val="Arial Nova"/>
      <family val="2"/>
    </font>
    <font>
      <b/>
      <sz val="9"/>
      <color rgb="FFC00000"/>
      <name val="Arial Nova"/>
      <family val="2"/>
    </font>
    <font>
      <sz val="9"/>
      <color theme="1"/>
      <name val="Arial Nova"/>
      <family val="2"/>
    </font>
    <font>
      <sz val="9"/>
      <color rgb="FFC00000"/>
      <name val="Arial Nova"/>
      <family val="2"/>
    </font>
    <font>
      <sz val="9"/>
      <color rgb="FFFF0000"/>
      <name val="Arial Nova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5" fontId="9" fillId="4" borderId="1" xfId="1" applyNumberFormat="1" applyFont="1" applyFill="1" applyBorder="1" applyAlignment="1">
      <alignment horizontal="center" vertical="center" wrapText="1"/>
    </xf>
    <xf numFmtId="2" fontId="9" fillId="4" borderId="1" xfId="1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64" fontId="5" fillId="4" borderId="7" xfId="0" applyNumberFormat="1" applyFont="1" applyFill="1" applyBorder="1" applyAlignment="1">
      <alignment horizontal="center" vertical="center" wrapText="1"/>
    </xf>
    <xf numFmtId="2" fontId="9" fillId="4" borderId="8" xfId="0" applyNumberFormat="1" applyFont="1" applyFill="1" applyBorder="1" applyAlignment="1">
      <alignment horizontal="center" vertical="center" wrapText="1"/>
    </xf>
    <xf numFmtId="164" fontId="9" fillId="4" borderId="8" xfId="0" applyNumberFormat="1" applyFont="1" applyFill="1" applyBorder="1" applyAlignment="1">
      <alignment horizontal="center" vertical="center" wrapText="1"/>
    </xf>
    <xf numFmtId="165" fontId="9" fillId="4" borderId="8" xfId="0" applyNumberFormat="1" applyFont="1" applyFill="1" applyBorder="1" applyAlignment="1">
      <alignment horizontal="center" vertical="center" wrapText="1"/>
    </xf>
    <xf numFmtId="2" fontId="10" fillId="5" borderId="9" xfId="0" applyNumberFormat="1" applyFont="1" applyFill="1" applyBorder="1" applyAlignment="1">
      <alignment horizontal="center" vertical="center" wrapText="1"/>
    </xf>
    <xf numFmtId="2" fontId="9" fillId="4" borderId="8" xfId="1" applyNumberFormat="1" applyFont="1" applyFill="1" applyBorder="1" applyAlignment="1">
      <alignment horizontal="center" vertical="center" wrapText="1"/>
    </xf>
    <xf numFmtId="2" fontId="5" fillId="4" borderId="7" xfId="0" applyNumberFormat="1" applyFont="1" applyFill="1" applyBorder="1" applyAlignment="1">
      <alignment horizontal="center" vertical="center" wrapText="1"/>
    </xf>
    <xf numFmtId="164" fontId="9" fillId="4" borderId="10" xfId="0" applyNumberFormat="1" applyFont="1" applyFill="1" applyBorder="1" applyAlignment="1">
      <alignment horizontal="center" vertical="center" wrapText="1"/>
    </xf>
    <xf numFmtId="165" fontId="9" fillId="4" borderId="10" xfId="0" applyNumberFormat="1" applyFont="1" applyFill="1" applyBorder="1" applyAlignment="1">
      <alignment horizontal="center" vertical="center" wrapText="1"/>
    </xf>
    <xf numFmtId="165" fontId="11" fillId="4" borderId="5" xfId="0" applyNumberFormat="1" applyFont="1" applyFill="1" applyBorder="1" applyAlignment="1">
      <alignment horizontal="center" vertical="center" wrapText="1"/>
    </xf>
    <xf numFmtId="2" fontId="11" fillId="4" borderId="5" xfId="0" applyNumberFormat="1" applyFont="1" applyFill="1" applyBorder="1" applyAlignment="1">
      <alignment horizontal="center" vertical="center" wrapText="1"/>
    </xf>
    <xf numFmtId="2" fontId="10" fillId="5" borderId="11" xfId="0" applyNumberFormat="1" applyFont="1" applyFill="1" applyBorder="1" applyAlignment="1">
      <alignment horizontal="center" vertical="center" wrapText="1"/>
    </xf>
    <xf numFmtId="164" fontId="9" fillId="4" borderId="12" xfId="0" applyNumberFormat="1" applyFont="1" applyFill="1" applyBorder="1" applyAlignment="1">
      <alignment horizontal="center" vertical="center" wrapText="1"/>
    </xf>
    <xf numFmtId="165" fontId="9" fillId="4" borderId="12" xfId="0" applyNumberFormat="1" applyFont="1" applyFill="1" applyBorder="1" applyAlignment="1">
      <alignment horizontal="center" vertical="center" wrapText="1"/>
    </xf>
    <xf numFmtId="2" fontId="10" fillId="5" borderId="13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164" fontId="9" fillId="6" borderId="1" xfId="1" applyNumberFormat="1" applyFont="1" applyFill="1" applyBorder="1" applyAlignment="1">
      <alignment horizontal="center" vertical="center" wrapText="1"/>
    </xf>
    <xf numFmtId="165" fontId="9" fillId="6" borderId="1" xfId="1" applyNumberFormat="1" applyFont="1" applyFill="1" applyBorder="1" applyAlignment="1">
      <alignment horizontal="center" vertical="center" wrapText="1"/>
    </xf>
    <xf numFmtId="2" fontId="9" fillId="6" borderId="1" xfId="1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2" fontId="5" fillId="6" borderId="7" xfId="0" applyNumberFormat="1" applyFont="1" applyFill="1" applyBorder="1" applyAlignment="1">
      <alignment horizontal="center" vertical="center" wrapText="1"/>
    </xf>
    <xf numFmtId="2" fontId="9" fillId="6" borderId="8" xfId="0" applyNumberFormat="1" applyFont="1" applyFill="1" applyBorder="1" applyAlignment="1">
      <alignment horizontal="center" vertical="center" wrapText="1"/>
    </xf>
    <xf numFmtId="164" fontId="9" fillId="6" borderId="8" xfId="0" applyNumberFormat="1" applyFont="1" applyFill="1" applyBorder="1" applyAlignment="1">
      <alignment horizontal="center" vertical="center" wrapText="1"/>
    </xf>
    <xf numFmtId="165" fontId="9" fillId="6" borderId="8" xfId="0" applyNumberFormat="1" applyFont="1" applyFill="1" applyBorder="1" applyAlignment="1">
      <alignment horizontal="center" vertical="center" wrapText="1"/>
    </xf>
    <xf numFmtId="2" fontId="9" fillId="6" borderId="8" xfId="1" applyNumberFormat="1" applyFont="1" applyFill="1" applyBorder="1" applyAlignment="1">
      <alignment horizontal="center" vertical="center" wrapText="1"/>
    </xf>
    <xf numFmtId="164" fontId="9" fillId="6" borderId="10" xfId="0" applyNumberFormat="1" applyFont="1" applyFill="1" applyBorder="1" applyAlignment="1">
      <alignment horizontal="center" vertical="center" wrapText="1"/>
    </xf>
    <xf numFmtId="165" fontId="9" fillId="6" borderId="10" xfId="0" applyNumberFormat="1" applyFont="1" applyFill="1" applyBorder="1" applyAlignment="1">
      <alignment horizontal="center" vertical="center" wrapText="1"/>
    </xf>
    <xf numFmtId="2" fontId="11" fillId="6" borderId="5" xfId="0" applyNumberFormat="1" applyFont="1" applyFill="1" applyBorder="1" applyAlignment="1">
      <alignment horizontal="center" vertical="center" wrapText="1"/>
    </xf>
    <xf numFmtId="164" fontId="9" fillId="6" borderId="12" xfId="0" applyNumberFormat="1" applyFont="1" applyFill="1" applyBorder="1" applyAlignment="1">
      <alignment horizontal="center" vertical="center" wrapText="1"/>
    </xf>
    <xf numFmtId="165" fontId="9" fillId="6" borderId="1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11" fillId="4" borderId="9" xfId="0" applyNumberFormat="1" applyFont="1" applyFill="1" applyBorder="1" applyAlignment="1">
      <alignment horizontal="center" vertical="center" wrapText="1"/>
    </xf>
    <xf numFmtId="2" fontId="11" fillId="4" borderId="11" xfId="0" applyNumberFormat="1" applyFont="1" applyFill="1" applyBorder="1" applyAlignment="1">
      <alignment horizontal="center" vertical="center" wrapText="1"/>
    </xf>
    <xf numFmtId="2" fontId="11" fillId="4" borderId="13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2" fontId="9" fillId="6" borderId="9" xfId="0" applyNumberFormat="1" applyFont="1" applyFill="1" applyBorder="1" applyAlignment="1">
      <alignment horizontal="center" vertical="center" wrapText="1"/>
    </xf>
    <xf numFmtId="2" fontId="11" fillId="6" borderId="9" xfId="0" applyNumberFormat="1" applyFont="1" applyFill="1" applyBorder="1" applyAlignment="1">
      <alignment horizontal="center" vertical="center" wrapText="1"/>
    </xf>
    <xf numFmtId="2" fontId="9" fillId="6" borderId="11" xfId="0" applyNumberFormat="1" applyFont="1" applyFill="1" applyBorder="1" applyAlignment="1">
      <alignment horizontal="center" vertical="center" wrapText="1"/>
    </xf>
    <xf numFmtId="2" fontId="11" fillId="6" borderId="11" xfId="0" applyNumberFormat="1" applyFont="1" applyFill="1" applyBorder="1" applyAlignment="1">
      <alignment horizontal="center" vertical="center" wrapText="1"/>
    </xf>
    <xf numFmtId="2" fontId="9" fillId="6" borderId="13" xfId="0" applyNumberFormat="1" applyFont="1" applyFill="1" applyBorder="1" applyAlignment="1">
      <alignment horizontal="center" vertical="center" wrapText="1"/>
    </xf>
    <xf numFmtId="2" fontId="11" fillId="6" borderId="13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/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2" xfId="0" applyFont="1" applyBorder="1"/>
    <xf numFmtId="11" fontId="11" fillId="0" borderId="8" xfId="0" applyNumberFormat="1" applyFont="1" applyBorder="1"/>
    <xf numFmtId="2" fontId="11" fillId="0" borderId="8" xfId="0" applyNumberFormat="1" applyFont="1" applyBorder="1"/>
    <xf numFmtId="0" fontId="13" fillId="0" borderId="8" xfId="0" applyFont="1" applyBorder="1" applyAlignment="1">
      <alignment horizontal="center"/>
    </xf>
    <xf numFmtId="0" fontId="13" fillId="0" borderId="8" xfId="0" applyFont="1" applyBorder="1"/>
    <xf numFmtId="0" fontId="13" fillId="0" borderId="8" xfId="0" applyFont="1" applyBorder="1" applyAlignment="1">
      <alignment horizontal="center"/>
    </xf>
    <xf numFmtId="2" fontId="13" fillId="0" borderId="8" xfId="0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344360</xdr:colOff>
      <xdr:row>69</xdr:row>
      <xdr:rowOff>11905</xdr:rowOff>
    </xdr:from>
    <xdr:to>
      <xdr:col>7</xdr:col>
      <xdr:colOff>595311</xdr:colOff>
      <xdr:row>81</xdr:row>
      <xdr:rowOff>47624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A3554C-CF8D-475E-A1A7-7A8CC05EA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9120" y="13430725"/>
          <a:ext cx="2818891" cy="2230279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369094</xdr:colOff>
      <xdr:row>69</xdr:row>
      <xdr:rowOff>11908</xdr:rowOff>
    </xdr:from>
    <xdr:to>
      <xdr:col>2</xdr:col>
      <xdr:colOff>845343</xdr:colOff>
      <xdr:row>80</xdr:row>
      <xdr:rowOff>126828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C6D42D-7B8A-4CF0-B007-A28FAF81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094" y="13430728"/>
          <a:ext cx="2693669" cy="21266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69</xdr:row>
      <xdr:rowOff>11907</xdr:rowOff>
    </xdr:from>
    <xdr:to>
      <xdr:col>10</xdr:col>
      <xdr:colOff>638202</xdr:colOff>
      <xdr:row>81</xdr:row>
      <xdr:rowOff>107156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913E8E-5C4F-48EB-B2FD-EF03DD43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810" y="13430727"/>
          <a:ext cx="2889912" cy="2289809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142876</xdr:colOff>
      <xdr:row>69</xdr:row>
      <xdr:rowOff>35719</xdr:rowOff>
    </xdr:from>
    <xdr:to>
      <xdr:col>17</xdr:col>
      <xdr:colOff>107157</xdr:colOff>
      <xdr:row>81</xdr:row>
      <xdr:rowOff>10377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209B805-AF47-41EC-A29B-907CFA767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11176" y="13454539"/>
          <a:ext cx="2745581" cy="2169218"/>
        </a:xfrm>
        <a:prstGeom prst="rect">
          <a:avLst/>
        </a:prstGeom>
      </xdr:spPr>
    </xdr:pic>
    <xdr:clientData/>
  </xdr:twoCellAnchor>
  <xdr:twoCellAnchor editAs="oneCell">
    <xdr:from>
      <xdr:col>28</xdr:col>
      <xdr:colOff>404813</xdr:colOff>
      <xdr:row>69</xdr:row>
      <xdr:rowOff>47625</xdr:rowOff>
    </xdr:from>
    <xdr:to>
      <xdr:col>30</xdr:col>
      <xdr:colOff>978695</xdr:colOff>
      <xdr:row>82</xdr:row>
      <xdr:rowOff>22684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D6D09C4-A580-4C99-892A-ED95B9BB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221373" y="13466445"/>
          <a:ext cx="2997042" cy="23524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35719</xdr:rowOff>
    </xdr:from>
    <xdr:to>
      <xdr:col>7</xdr:col>
      <xdr:colOff>631894</xdr:colOff>
      <xdr:row>116</xdr:row>
      <xdr:rowOff>11906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A62DF94-DCB7-4396-B232-4CDD70BB3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4760" y="19489579"/>
          <a:ext cx="3199834" cy="253650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102</xdr:row>
      <xdr:rowOff>47626</xdr:rowOff>
    </xdr:from>
    <xdr:to>
      <xdr:col>10</xdr:col>
      <xdr:colOff>995362</xdr:colOff>
      <xdr:row>116</xdr:row>
      <xdr:rowOff>143652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CBD92C3-7D68-41AF-A5CA-CDBE962F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7560" y="19501486"/>
          <a:ext cx="3342322" cy="2656346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297656</xdr:colOff>
      <xdr:row>137</xdr:row>
      <xdr:rowOff>11908</xdr:rowOff>
    </xdr:from>
    <xdr:to>
      <xdr:col>3</xdr:col>
      <xdr:colOff>380999</xdr:colOff>
      <xdr:row>150</xdr:row>
      <xdr:rowOff>157771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6AE2E13-2490-447C-8D98-C7FC9AF75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7656" y="25866568"/>
          <a:ext cx="3215163" cy="2523303"/>
        </a:xfrm>
        <a:prstGeom prst="rect">
          <a:avLst/>
        </a:prstGeom>
      </xdr:spPr>
    </xdr:pic>
    <xdr:clientData/>
  </xdr:twoCellAnchor>
  <xdr:twoCellAnchor editAs="oneCell">
    <xdr:from>
      <xdr:col>8</xdr:col>
      <xdr:colOff>431007</xdr:colOff>
      <xdr:row>137</xdr:row>
      <xdr:rowOff>76201</xdr:rowOff>
    </xdr:from>
    <xdr:to>
      <xdr:col>11</xdr:col>
      <xdr:colOff>27771</xdr:colOff>
      <xdr:row>151</xdr:row>
      <xdr:rowOff>14287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69FC676-3F23-40DF-A091-1E3A3005B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78567" y="25930861"/>
          <a:ext cx="3117204" cy="2498406"/>
        </a:xfrm>
        <a:prstGeom prst="rect">
          <a:avLst/>
        </a:prstGeom>
      </xdr:spPr>
    </xdr:pic>
    <xdr:clientData/>
  </xdr:twoCellAnchor>
  <xdr:twoCellAnchor editAs="oneCell">
    <xdr:from>
      <xdr:col>24</xdr:col>
      <xdr:colOff>142875</xdr:colOff>
      <xdr:row>137</xdr:row>
      <xdr:rowOff>23813</xdr:rowOff>
    </xdr:from>
    <xdr:to>
      <xdr:col>27</xdr:col>
      <xdr:colOff>571500</xdr:colOff>
      <xdr:row>151</xdr:row>
      <xdr:rowOff>119840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86A0FA7-7B25-4D58-A8FC-0BCEA5DA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233255" y="25878473"/>
          <a:ext cx="3354705" cy="2656347"/>
        </a:xfrm>
        <a:prstGeom prst="rect">
          <a:avLst/>
        </a:prstGeom>
      </xdr:spPr>
    </xdr:pic>
    <xdr:clientData/>
  </xdr:twoCellAnchor>
  <xdr:twoCellAnchor editAs="oneCell">
    <xdr:from>
      <xdr:col>34</xdr:col>
      <xdr:colOff>119063</xdr:colOff>
      <xdr:row>137</xdr:row>
      <xdr:rowOff>35720</xdr:rowOff>
    </xdr:from>
    <xdr:to>
      <xdr:col>37</xdr:col>
      <xdr:colOff>631031</xdr:colOff>
      <xdr:row>151</xdr:row>
      <xdr:rowOff>154781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52D62B0-6EAD-4FF4-ABF4-A8F73A24D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450723" y="25890380"/>
          <a:ext cx="3552348" cy="2679381"/>
        </a:xfrm>
        <a:prstGeom prst="rect">
          <a:avLst/>
        </a:prstGeom>
      </xdr:spPr>
    </xdr:pic>
    <xdr:clientData/>
  </xdr:twoCellAnchor>
  <xdr:twoCellAnchor editAs="oneCell">
    <xdr:from>
      <xdr:col>38</xdr:col>
      <xdr:colOff>204106</xdr:colOff>
      <xdr:row>137</xdr:row>
      <xdr:rowOff>68036</xdr:rowOff>
    </xdr:from>
    <xdr:to>
      <xdr:col>41</xdr:col>
      <xdr:colOff>210570</xdr:colOff>
      <xdr:row>151</xdr:row>
      <xdr:rowOff>95249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3AEB6D7-24F3-4330-9570-CA60B3354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43886" y="25922696"/>
          <a:ext cx="3618344" cy="2587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1</xdr:rowOff>
    </xdr:from>
    <xdr:to>
      <xdr:col>3</xdr:col>
      <xdr:colOff>142873</xdr:colOff>
      <xdr:row>185</xdr:row>
      <xdr:rowOff>5600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47E5B92-E08D-445E-AA85-87C1C9FCC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2072581"/>
          <a:ext cx="3274693" cy="2565919"/>
        </a:xfrm>
        <a:prstGeom prst="rect">
          <a:avLst/>
        </a:prstGeom>
      </xdr:spPr>
    </xdr:pic>
    <xdr:clientData/>
  </xdr:twoCellAnchor>
  <xdr:twoCellAnchor editAs="oneCell">
    <xdr:from>
      <xdr:col>3</xdr:col>
      <xdr:colOff>631030</xdr:colOff>
      <xdr:row>171</xdr:row>
      <xdr:rowOff>35721</xdr:rowOff>
    </xdr:from>
    <xdr:to>
      <xdr:col>7</xdr:col>
      <xdr:colOff>642936</xdr:colOff>
      <xdr:row>184</xdr:row>
      <xdr:rowOff>130969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87B4CC6-AC13-4F01-9588-A66B3868A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62850" y="32108301"/>
          <a:ext cx="3242786" cy="2472688"/>
        </a:xfrm>
        <a:prstGeom prst="rect">
          <a:avLst/>
        </a:prstGeom>
      </xdr:spPr>
    </xdr:pic>
    <xdr:clientData/>
  </xdr:twoCellAnchor>
  <xdr:twoCellAnchor editAs="oneCell">
    <xdr:from>
      <xdr:col>8</xdr:col>
      <xdr:colOff>154781</xdr:colOff>
      <xdr:row>171</xdr:row>
      <xdr:rowOff>35719</xdr:rowOff>
    </xdr:from>
    <xdr:to>
      <xdr:col>10</xdr:col>
      <xdr:colOff>951696</xdr:colOff>
      <xdr:row>184</xdr:row>
      <xdr:rowOff>154781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B8CB4C5-34A0-4B7C-BCDD-0AA4A4483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02341" y="32108299"/>
          <a:ext cx="3143875" cy="249650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171</xdr:row>
      <xdr:rowOff>35719</xdr:rowOff>
    </xdr:from>
    <xdr:to>
      <xdr:col>21</xdr:col>
      <xdr:colOff>121444</xdr:colOff>
      <xdr:row>184</xdr:row>
      <xdr:rowOff>161488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17479BB3-D8DB-44A6-BAAD-1E4742016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651605" y="32108299"/>
          <a:ext cx="3159919" cy="2503209"/>
        </a:xfrm>
        <a:prstGeom prst="rect">
          <a:avLst/>
        </a:prstGeom>
      </xdr:spPr>
    </xdr:pic>
    <xdr:clientData/>
  </xdr:twoCellAnchor>
  <xdr:twoCellAnchor editAs="oneCell">
    <xdr:from>
      <xdr:col>24</xdr:col>
      <xdr:colOff>309563</xdr:colOff>
      <xdr:row>171</xdr:row>
      <xdr:rowOff>11907</xdr:rowOff>
    </xdr:from>
    <xdr:to>
      <xdr:col>27</xdr:col>
      <xdr:colOff>547688</xdr:colOff>
      <xdr:row>184</xdr:row>
      <xdr:rowOff>137676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BB95FAD0-5135-4813-88D1-1D87613F8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399943" y="32084487"/>
          <a:ext cx="3164205" cy="2503209"/>
        </a:xfrm>
        <a:prstGeom prst="rect">
          <a:avLst/>
        </a:prstGeom>
      </xdr:spPr>
    </xdr:pic>
    <xdr:clientData/>
  </xdr:twoCellAnchor>
  <xdr:twoCellAnchor editAs="oneCell">
    <xdr:from>
      <xdr:col>34</xdr:col>
      <xdr:colOff>321470</xdr:colOff>
      <xdr:row>171</xdr:row>
      <xdr:rowOff>67720</xdr:rowOff>
    </xdr:from>
    <xdr:to>
      <xdr:col>37</xdr:col>
      <xdr:colOff>452438</xdr:colOff>
      <xdr:row>185</xdr:row>
      <xdr:rowOff>2988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1494B408-16B5-4746-AB3A-C20EDEC2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2653130" y="32140300"/>
          <a:ext cx="3171348" cy="2495588"/>
        </a:xfrm>
        <a:prstGeom prst="rect">
          <a:avLst/>
        </a:prstGeom>
      </xdr:spPr>
    </xdr:pic>
    <xdr:clientData/>
  </xdr:twoCellAnchor>
  <xdr:twoCellAnchor editAs="oneCell">
    <xdr:from>
      <xdr:col>38</xdr:col>
      <xdr:colOff>35719</xdr:colOff>
      <xdr:row>171</xdr:row>
      <xdr:rowOff>59531</xdr:rowOff>
    </xdr:from>
    <xdr:to>
      <xdr:col>40</xdr:col>
      <xdr:colOff>731044</xdr:colOff>
      <xdr:row>184</xdr:row>
      <xdr:rowOff>145110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EB861DC5-F01E-4F24-9761-EF9AF35A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375499" y="32132111"/>
          <a:ext cx="3103245" cy="2463019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297656</xdr:colOff>
      <xdr:row>205</xdr:row>
      <xdr:rowOff>71438</xdr:rowOff>
    </xdr:from>
    <xdr:to>
      <xdr:col>3</xdr:col>
      <xdr:colOff>500062</xdr:colOff>
      <xdr:row>219</xdr:row>
      <xdr:rowOff>127275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98B9E8B5-1558-4EC6-A198-EDB7D5510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7656" y="38361938"/>
          <a:ext cx="3334226" cy="26161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205</xdr:row>
      <xdr:rowOff>83344</xdr:rowOff>
    </xdr:from>
    <xdr:to>
      <xdr:col>7</xdr:col>
      <xdr:colOff>726281</xdr:colOff>
      <xdr:row>219</xdr:row>
      <xdr:rowOff>139181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30E68FB-4886-47EF-A3FE-53F3A720B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794760" y="38373844"/>
          <a:ext cx="3294221" cy="26161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205</xdr:row>
      <xdr:rowOff>59532</xdr:rowOff>
    </xdr:from>
    <xdr:to>
      <xdr:col>10</xdr:col>
      <xdr:colOff>1007268</xdr:colOff>
      <xdr:row>219</xdr:row>
      <xdr:rowOff>165605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1FF4637-509E-4AF9-B772-325DE3D9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147560" y="38350032"/>
          <a:ext cx="3354228" cy="266639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205</xdr:row>
      <xdr:rowOff>35719</xdr:rowOff>
    </xdr:from>
    <xdr:to>
      <xdr:col>27</xdr:col>
      <xdr:colOff>416718</xdr:colOff>
      <xdr:row>219</xdr:row>
      <xdr:rowOff>121698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531B2973-E835-4420-8BE3-E39D2B6F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090380" y="38326219"/>
          <a:ext cx="3342798" cy="2646299"/>
        </a:xfrm>
        <a:prstGeom prst="rect">
          <a:avLst/>
        </a:prstGeom>
      </xdr:spPr>
    </xdr:pic>
    <xdr:clientData/>
  </xdr:twoCellAnchor>
  <xdr:twoCellAnchor editAs="oneCell">
    <xdr:from>
      <xdr:col>34</xdr:col>
      <xdr:colOff>163258</xdr:colOff>
      <xdr:row>205</xdr:row>
      <xdr:rowOff>59531</xdr:rowOff>
    </xdr:from>
    <xdr:to>
      <xdr:col>37</xdr:col>
      <xdr:colOff>500062</xdr:colOff>
      <xdr:row>219</xdr:row>
      <xdr:rowOff>168498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2960CE65-1D9E-45ED-B250-DCCFD95B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2494918" y="38350031"/>
          <a:ext cx="3377184" cy="266928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274</xdr:row>
      <xdr:rowOff>11907</xdr:rowOff>
    </xdr:from>
    <xdr:to>
      <xdr:col>3</xdr:col>
      <xdr:colOff>466042</xdr:colOff>
      <xdr:row>289</xdr:row>
      <xdr:rowOff>59531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9AC59DB-B9F7-4190-8EE4-C7562E6F1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625" y="50921127"/>
          <a:ext cx="3550237" cy="279082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274</xdr:row>
      <xdr:rowOff>11907</xdr:rowOff>
    </xdr:from>
    <xdr:to>
      <xdr:col>7</xdr:col>
      <xdr:colOff>690562</xdr:colOff>
      <xdr:row>288</xdr:row>
      <xdr:rowOff>37603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5CECF9-1723-4E27-99BB-825FC57E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94760" y="50921127"/>
          <a:ext cx="3258502" cy="2586016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</xdr:colOff>
      <xdr:row>274</xdr:row>
      <xdr:rowOff>11906</xdr:rowOff>
    </xdr:from>
    <xdr:to>
      <xdr:col>10</xdr:col>
      <xdr:colOff>1051770</xdr:colOff>
      <xdr:row>288</xdr:row>
      <xdr:rowOff>95249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CFB5B35D-8909-4352-90FF-46797ADA2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218997" y="50921126"/>
          <a:ext cx="3327293" cy="2643663"/>
        </a:xfrm>
        <a:prstGeom prst="rect">
          <a:avLst/>
        </a:prstGeom>
      </xdr:spPr>
    </xdr:pic>
    <xdr:clientData/>
  </xdr:twoCellAnchor>
  <xdr:twoCellAnchor editAs="oneCell">
    <xdr:from>
      <xdr:col>24</xdr:col>
      <xdr:colOff>154781</xdr:colOff>
      <xdr:row>274</xdr:row>
      <xdr:rowOff>11908</xdr:rowOff>
    </xdr:from>
    <xdr:to>
      <xdr:col>27</xdr:col>
      <xdr:colOff>654843</xdr:colOff>
      <xdr:row>288</xdr:row>
      <xdr:rowOff>168218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F289B90-EE8A-4CB4-9C59-B07C24DD5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245161" y="50921128"/>
          <a:ext cx="3426142" cy="2716630"/>
        </a:xfrm>
        <a:prstGeom prst="rect">
          <a:avLst/>
        </a:prstGeom>
      </xdr:spPr>
    </xdr:pic>
    <xdr:clientData/>
  </xdr:twoCellAnchor>
  <xdr:twoCellAnchor editAs="oneCell">
    <xdr:from>
      <xdr:col>38</xdr:col>
      <xdr:colOff>214312</xdr:colOff>
      <xdr:row>274</xdr:row>
      <xdr:rowOff>59532</xdr:rowOff>
    </xdr:from>
    <xdr:to>
      <xdr:col>41</xdr:col>
      <xdr:colOff>16668</xdr:colOff>
      <xdr:row>289</xdr:row>
      <xdr:rowOff>2820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26EDC696-99E6-4526-B1C6-246F84FCB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6554092" y="50968752"/>
          <a:ext cx="3414236" cy="2686488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102</xdr:row>
      <xdr:rowOff>28575</xdr:rowOff>
    </xdr:from>
    <xdr:to>
      <xdr:col>3</xdr:col>
      <xdr:colOff>0</xdr:colOff>
      <xdr:row>116</xdr:row>
      <xdr:rowOff>34900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127CF89D-C75F-4F4E-80B7-9AC6D094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3825" y="19482435"/>
          <a:ext cx="3007995" cy="256664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240</xdr:row>
      <xdr:rowOff>19051</xdr:rowOff>
    </xdr:from>
    <xdr:to>
      <xdr:col>3</xdr:col>
      <xdr:colOff>190500</xdr:colOff>
      <xdr:row>254</xdr:row>
      <xdr:rowOff>81641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B501C5AA-3E52-4AE7-8671-C8D6A7EE1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7650" y="44710351"/>
          <a:ext cx="3074670" cy="262291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137</xdr:row>
      <xdr:rowOff>19051</xdr:rowOff>
    </xdr:from>
    <xdr:to>
      <xdr:col>7</xdr:col>
      <xdr:colOff>628650</xdr:colOff>
      <xdr:row>151</xdr:row>
      <xdr:rowOff>81641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C0E5B801-D694-4ECA-AF47-C1F133F4A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909060" y="25873711"/>
          <a:ext cx="3082290" cy="262291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240</xdr:row>
      <xdr:rowOff>95251</xdr:rowOff>
    </xdr:from>
    <xdr:to>
      <xdr:col>7</xdr:col>
      <xdr:colOff>504825</xdr:colOff>
      <xdr:row>254</xdr:row>
      <xdr:rowOff>21197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34A21919-D6ED-4081-9679-0206B2176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947160" y="44786551"/>
          <a:ext cx="2920365" cy="2486266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240</xdr:row>
      <xdr:rowOff>38100</xdr:rowOff>
    </xdr:from>
    <xdr:to>
      <xdr:col>10</xdr:col>
      <xdr:colOff>866775</xdr:colOff>
      <xdr:row>254</xdr:row>
      <xdr:rowOff>12273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A49BD64-1008-4B1E-BB56-D0C740CB7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85685" y="44729400"/>
          <a:ext cx="2975610" cy="2534493"/>
        </a:xfrm>
        <a:prstGeom prst="rect">
          <a:avLst/>
        </a:prstGeom>
      </xdr:spPr>
    </xdr:pic>
    <xdr:clientData/>
  </xdr:twoCellAnchor>
  <xdr:twoCellAnchor editAs="oneCell">
    <xdr:from>
      <xdr:col>14</xdr:col>
      <xdr:colOff>200025</xdr:colOff>
      <xdr:row>137</xdr:row>
      <xdr:rowOff>38101</xdr:rowOff>
    </xdr:from>
    <xdr:to>
      <xdr:col>17</xdr:col>
      <xdr:colOff>361950</xdr:colOff>
      <xdr:row>150</xdr:row>
      <xdr:rowOff>169136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5797C70A-6964-42E1-88DC-1672D4E80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268325" y="25892761"/>
          <a:ext cx="2943225" cy="25084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102</xdr:row>
      <xdr:rowOff>19050</xdr:rowOff>
    </xdr:from>
    <xdr:to>
      <xdr:col>17</xdr:col>
      <xdr:colOff>542925</xdr:colOff>
      <xdr:row>116</xdr:row>
      <xdr:rowOff>170057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3FB4D7EB-DFE5-4004-AF8C-17DA3C9F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211175" y="19472910"/>
          <a:ext cx="3181350" cy="2711327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171</xdr:row>
      <xdr:rowOff>47625</xdr:rowOff>
    </xdr:from>
    <xdr:to>
      <xdr:col>17</xdr:col>
      <xdr:colOff>485775</xdr:colOff>
      <xdr:row>185</xdr:row>
      <xdr:rowOff>53950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247DA4E4-175F-4910-A7B4-D505DF11B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3325475" y="32120205"/>
          <a:ext cx="3009900" cy="2566645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205</xdr:row>
      <xdr:rowOff>38100</xdr:rowOff>
    </xdr:from>
    <xdr:to>
      <xdr:col>17</xdr:col>
      <xdr:colOff>504825</xdr:colOff>
      <xdr:row>219</xdr:row>
      <xdr:rowOff>173031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EAE246FF-FAA3-4471-8411-AF2EA6B15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3192125" y="38328600"/>
          <a:ext cx="3162300" cy="2695251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240</xdr:row>
      <xdr:rowOff>57150</xdr:rowOff>
    </xdr:from>
    <xdr:to>
      <xdr:col>17</xdr:col>
      <xdr:colOff>428625</xdr:colOff>
      <xdr:row>254</xdr:row>
      <xdr:rowOff>47399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3BA7FB96-E468-4E83-8564-42826214B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287375" y="44748450"/>
          <a:ext cx="2990850" cy="2550569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274</xdr:row>
      <xdr:rowOff>38100</xdr:rowOff>
    </xdr:from>
    <xdr:to>
      <xdr:col>17</xdr:col>
      <xdr:colOff>628650</xdr:colOff>
      <xdr:row>289</xdr:row>
      <xdr:rowOff>40284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3E007669-27D0-4372-ADEA-3FCD07E7F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3258800" y="50947320"/>
          <a:ext cx="3219450" cy="2745384"/>
        </a:xfrm>
        <a:prstGeom prst="rect">
          <a:avLst/>
        </a:prstGeom>
      </xdr:spPr>
    </xdr:pic>
    <xdr:clientData/>
  </xdr:twoCellAnchor>
  <xdr:twoCellAnchor editAs="oneCell">
    <xdr:from>
      <xdr:col>18</xdr:col>
      <xdr:colOff>95249</xdr:colOff>
      <xdr:row>69</xdr:row>
      <xdr:rowOff>38100</xdr:rowOff>
    </xdr:from>
    <xdr:to>
      <xdr:col>20</xdr:col>
      <xdr:colOff>981074</xdr:colOff>
      <xdr:row>82</xdr:row>
      <xdr:rowOff>169135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C98B21E-3BEA-4B3D-A9CA-17F9DC30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699229" y="13456920"/>
          <a:ext cx="2943225" cy="2508475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102</xdr:row>
      <xdr:rowOff>66675</xdr:rowOff>
    </xdr:from>
    <xdr:to>
      <xdr:col>21</xdr:col>
      <xdr:colOff>247650</xdr:colOff>
      <xdr:row>117</xdr:row>
      <xdr:rowOff>76897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CE14A46B-ABB1-472F-A705-5280D3B0E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708755" y="19520535"/>
          <a:ext cx="3228975" cy="2753422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171450</xdr:colOff>
      <xdr:row>137</xdr:row>
      <xdr:rowOff>57151</xdr:rowOff>
    </xdr:from>
    <xdr:to>
      <xdr:col>21</xdr:col>
      <xdr:colOff>200025</xdr:colOff>
      <xdr:row>151</xdr:row>
      <xdr:rowOff>151893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84A03B37-D253-4D77-B743-81D3A1F2A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775430" y="25911811"/>
          <a:ext cx="3114675" cy="265506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205</xdr:row>
      <xdr:rowOff>1</xdr:rowOff>
    </xdr:from>
    <xdr:to>
      <xdr:col>21</xdr:col>
      <xdr:colOff>152400</xdr:colOff>
      <xdr:row>220</xdr:row>
      <xdr:rowOff>18260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8585009B-E466-470E-951D-84E06B98C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603980" y="38290501"/>
          <a:ext cx="3238500" cy="2761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180975</xdr:colOff>
      <xdr:row>240</xdr:row>
      <xdr:rowOff>47625</xdr:rowOff>
    </xdr:from>
    <xdr:to>
      <xdr:col>21</xdr:col>
      <xdr:colOff>131142</xdr:colOff>
      <xdr:row>254</xdr:row>
      <xdr:rowOff>76200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26BC2F64-DF8E-44A2-84F4-249B6B5BD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784955" y="44738925"/>
          <a:ext cx="3036267" cy="2588895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274</xdr:row>
      <xdr:rowOff>47625</xdr:rowOff>
    </xdr:from>
    <xdr:to>
      <xdr:col>21</xdr:col>
      <xdr:colOff>209550</xdr:colOff>
      <xdr:row>289</xdr:row>
      <xdr:rowOff>33733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60D83BBB-4930-4302-A9AB-CA22732E7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699230" y="50956845"/>
          <a:ext cx="3200400" cy="2729308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69</xdr:row>
      <xdr:rowOff>47626</xdr:rowOff>
    </xdr:from>
    <xdr:to>
      <xdr:col>27</xdr:col>
      <xdr:colOff>19050</xdr:colOff>
      <xdr:row>82</xdr:row>
      <xdr:rowOff>82206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B319DABE-E6BF-4E2A-839B-8F9E29114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2214205" y="13466446"/>
          <a:ext cx="2821305" cy="241202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102</xdr:row>
      <xdr:rowOff>28575</xdr:rowOff>
    </xdr:from>
    <xdr:to>
      <xdr:col>27</xdr:col>
      <xdr:colOff>676275</xdr:colOff>
      <xdr:row>117</xdr:row>
      <xdr:rowOff>175441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191003B2-C719-4B73-8B27-AF7D8FDE4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2309455" y="19482435"/>
          <a:ext cx="3383280" cy="2890066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240</xdr:row>
      <xdr:rowOff>47626</xdr:rowOff>
    </xdr:from>
    <xdr:to>
      <xdr:col>27</xdr:col>
      <xdr:colOff>428625</xdr:colOff>
      <xdr:row>254</xdr:row>
      <xdr:rowOff>134330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FFDF6620-A051-4AC3-9CBB-63EFD698F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2347555" y="44738926"/>
          <a:ext cx="3097530" cy="2647024"/>
        </a:xfrm>
        <a:prstGeom prst="rect">
          <a:avLst/>
        </a:prstGeom>
      </xdr:spPr>
    </xdr:pic>
    <xdr:clientData/>
  </xdr:twoCellAnchor>
  <xdr:twoCellAnchor editAs="oneCell">
    <xdr:from>
      <xdr:col>28</xdr:col>
      <xdr:colOff>266700</xdr:colOff>
      <xdr:row>102</xdr:row>
      <xdr:rowOff>38100</xdr:rowOff>
    </xdr:from>
    <xdr:to>
      <xdr:col>31</xdr:col>
      <xdr:colOff>0</xdr:colOff>
      <xdr:row>117</xdr:row>
      <xdr:rowOff>160852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35AE7ACD-0EC5-4EE0-9B72-5A20E85AD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6083260" y="19491960"/>
          <a:ext cx="3368040" cy="2865952"/>
        </a:xfrm>
        <a:prstGeom prst="rect">
          <a:avLst/>
        </a:prstGeom>
      </xdr:spPr>
    </xdr:pic>
    <xdr:clientData/>
  </xdr:twoCellAnchor>
  <xdr:twoCellAnchor editAs="oneCell">
    <xdr:from>
      <xdr:col>28</xdr:col>
      <xdr:colOff>200025</xdr:colOff>
      <xdr:row>137</xdr:row>
      <xdr:rowOff>28575</xdr:rowOff>
    </xdr:from>
    <xdr:to>
      <xdr:col>30</xdr:col>
      <xdr:colOff>923925</xdr:colOff>
      <xdr:row>151</xdr:row>
      <xdr:rowOff>147430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13966EBD-6D53-4344-8D16-059D4AF97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6016585" y="25883235"/>
          <a:ext cx="3147060" cy="2679175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171</xdr:row>
      <xdr:rowOff>76201</xdr:rowOff>
    </xdr:from>
    <xdr:to>
      <xdr:col>30</xdr:col>
      <xdr:colOff>847725</xdr:colOff>
      <xdr:row>185</xdr:row>
      <xdr:rowOff>18223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859D3BAA-11CF-4DB1-AE22-17E37DA31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6149935" y="32148781"/>
          <a:ext cx="2937510" cy="2502342"/>
        </a:xfrm>
        <a:prstGeom prst="rect">
          <a:avLst/>
        </a:prstGeom>
      </xdr:spPr>
    </xdr:pic>
    <xdr:clientData/>
  </xdr:twoCellAnchor>
  <xdr:twoCellAnchor editAs="oneCell">
    <xdr:from>
      <xdr:col>28</xdr:col>
      <xdr:colOff>76200</xdr:colOff>
      <xdr:row>205</xdr:row>
      <xdr:rowOff>95251</xdr:rowOff>
    </xdr:from>
    <xdr:to>
      <xdr:col>30</xdr:col>
      <xdr:colOff>914400</xdr:colOff>
      <xdr:row>220</xdr:row>
      <xdr:rowOff>129586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726C1A5B-FB89-42BA-8E11-FF581FEC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5892760" y="38385751"/>
          <a:ext cx="3261360" cy="2777535"/>
        </a:xfrm>
        <a:prstGeom prst="rect">
          <a:avLst/>
        </a:prstGeom>
      </xdr:spPr>
    </xdr:pic>
    <xdr:clientData/>
  </xdr:twoCellAnchor>
  <xdr:twoCellAnchor editAs="oneCell">
    <xdr:from>
      <xdr:col>28</xdr:col>
      <xdr:colOff>238125</xdr:colOff>
      <xdr:row>240</xdr:row>
      <xdr:rowOff>9526</xdr:rowOff>
    </xdr:from>
    <xdr:to>
      <xdr:col>30</xdr:col>
      <xdr:colOff>914400</xdr:colOff>
      <xdr:row>254</xdr:row>
      <xdr:rowOff>88192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3DE7666E-9D10-49E5-841F-78B33A65D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6054685" y="44700826"/>
          <a:ext cx="3099435" cy="2638986"/>
        </a:xfrm>
        <a:prstGeom prst="rect">
          <a:avLst/>
        </a:prstGeom>
      </xdr:spPr>
    </xdr:pic>
    <xdr:clientData/>
  </xdr:twoCellAnchor>
  <xdr:twoCellAnchor editAs="oneCell">
    <xdr:from>
      <xdr:col>28</xdr:col>
      <xdr:colOff>238125</xdr:colOff>
      <xdr:row>274</xdr:row>
      <xdr:rowOff>85725</xdr:rowOff>
    </xdr:from>
    <xdr:to>
      <xdr:col>30</xdr:col>
      <xdr:colOff>962025</xdr:colOff>
      <xdr:row>289</xdr:row>
      <xdr:rowOff>23605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3E3C4483-5675-403E-8CE9-5FB38A44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6054685" y="50994945"/>
          <a:ext cx="3147060" cy="2681080"/>
        </a:xfrm>
        <a:prstGeom prst="rect">
          <a:avLst/>
        </a:prstGeom>
      </xdr:spPr>
    </xdr:pic>
    <xdr:clientData/>
  </xdr:twoCellAnchor>
  <xdr:twoCellAnchor editAs="oneCell">
    <xdr:from>
      <xdr:col>34</xdr:col>
      <xdr:colOff>371475</xdr:colOff>
      <xdr:row>69</xdr:row>
      <xdr:rowOff>57151</xdr:rowOff>
    </xdr:from>
    <xdr:to>
      <xdr:col>37</xdr:col>
      <xdr:colOff>200025</xdr:colOff>
      <xdr:row>82</xdr:row>
      <xdr:rowOff>131920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16DC3CBF-2566-4A14-A417-1B50153A9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2703135" y="13475971"/>
          <a:ext cx="2868930" cy="2452209"/>
        </a:xfrm>
        <a:prstGeom prst="rect">
          <a:avLst/>
        </a:prstGeom>
      </xdr:spPr>
    </xdr:pic>
    <xdr:clientData/>
  </xdr:twoCellAnchor>
  <xdr:twoCellAnchor editAs="oneCell">
    <xdr:from>
      <xdr:col>34</xdr:col>
      <xdr:colOff>180975</xdr:colOff>
      <xdr:row>102</xdr:row>
      <xdr:rowOff>76200</xdr:rowOff>
    </xdr:from>
    <xdr:to>
      <xdr:col>37</xdr:col>
      <xdr:colOff>333375</xdr:colOff>
      <xdr:row>117</xdr:row>
      <xdr:rowOff>62308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D414045F-14C1-4C6B-846B-8CB66D7DB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2512635" y="19530060"/>
          <a:ext cx="3192780" cy="2729308"/>
        </a:xfrm>
        <a:prstGeom prst="rect">
          <a:avLst/>
        </a:prstGeom>
      </xdr:spPr>
    </xdr:pic>
    <xdr:clientData/>
  </xdr:twoCellAnchor>
  <xdr:twoCellAnchor editAs="oneCell">
    <xdr:from>
      <xdr:col>34</xdr:col>
      <xdr:colOff>409575</xdr:colOff>
      <xdr:row>240</xdr:row>
      <xdr:rowOff>85726</xdr:rowOff>
    </xdr:from>
    <xdr:to>
      <xdr:col>37</xdr:col>
      <xdr:colOff>257175</xdr:colOff>
      <xdr:row>253</xdr:row>
      <xdr:rowOff>176571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A82C70E3-D5F6-4072-AB75-3C3DBFA45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2741235" y="44777026"/>
          <a:ext cx="2887980" cy="2468285"/>
        </a:xfrm>
        <a:prstGeom prst="rect">
          <a:avLst/>
        </a:prstGeom>
      </xdr:spPr>
    </xdr:pic>
    <xdr:clientData/>
  </xdr:twoCellAnchor>
  <xdr:twoCellAnchor editAs="oneCell">
    <xdr:from>
      <xdr:col>34</xdr:col>
      <xdr:colOff>209550</xdr:colOff>
      <xdr:row>274</xdr:row>
      <xdr:rowOff>66675</xdr:rowOff>
    </xdr:from>
    <xdr:to>
      <xdr:col>37</xdr:col>
      <xdr:colOff>914400</xdr:colOff>
      <xdr:row>291</xdr:row>
      <xdr:rowOff>157031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31688A6B-6DA9-413D-9FDD-6BAB1B278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2541210" y="50975895"/>
          <a:ext cx="3745230" cy="3199316"/>
        </a:xfrm>
        <a:prstGeom prst="rect">
          <a:avLst/>
        </a:prstGeom>
      </xdr:spPr>
    </xdr:pic>
    <xdr:clientData/>
  </xdr:twoCellAnchor>
  <xdr:twoCellAnchor editAs="oneCell">
    <xdr:from>
      <xdr:col>38</xdr:col>
      <xdr:colOff>504825</xdr:colOff>
      <xdr:row>69</xdr:row>
      <xdr:rowOff>85725</xdr:rowOff>
    </xdr:from>
    <xdr:to>
      <xdr:col>40</xdr:col>
      <xdr:colOff>723900</xdr:colOff>
      <xdr:row>81</xdr:row>
      <xdr:rowOff>124446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EBF2F16D-3CA2-46E6-AEB9-4B19CDA75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6844605" y="13504545"/>
          <a:ext cx="2626995" cy="2233281"/>
        </a:xfrm>
        <a:prstGeom prst="rect">
          <a:avLst/>
        </a:prstGeom>
      </xdr:spPr>
    </xdr:pic>
    <xdr:clientData/>
  </xdr:twoCellAnchor>
  <xdr:twoCellAnchor editAs="oneCell">
    <xdr:from>
      <xdr:col>38</xdr:col>
      <xdr:colOff>514350</xdr:colOff>
      <xdr:row>102</xdr:row>
      <xdr:rowOff>47625</xdr:rowOff>
    </xdr:from>
    <xdr:to>
      <xdr:col>41</xdr:col>
      <xdr:colOff>257175</xdr:colOff>
      <xdr:row>117</xdr:row>
      <xdr:rowOff>154301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54FB90E2-DB92-4DF2-B0FB-7EFAB31E5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6854130" y="19501485"/>
          <a:ext cx="3354705" cy="2849876"/>
        </a:xfrm>
        <a:prstGeom prst="rect">
          <a:avLst/>
        </a:prstGeom>
      </xdr:spPr>
    </xdr:pic>
    <xdr:clientData/>
  </xdr:twoCellAnchor>
  <xdr:twoCellAnchor editAs="oneCell">
    <xdr:from>
      <xdr:col>38</xdr:col>
      <xdr:colOff>609600</xdr:colOff>
      <xdr:row>205</xdr:row>
      <xdr:rowOff>47625</xdr:rowOff>
    </xdr:from>
    <xdr:to>
      <xdr:col>41</xdr:col>
      <xdr:colOff>228600</xdr:colOff>
      <xdr:row>220</xdr:row>
      <xdr:rowOff>49809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CC7B2414-73C6-42C7-8FED-02C0312F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6949380" y="38338125"/>
          <a:ext cx="3230880" cy="2745384"/>
        </a:xfrm>
        <a:prstGeom prst="rect">
          <a:avLst/>
        </a:prstGeom>
      </xdr:spPr>
    </xdr:pic>
    <xdr:clientData/>
  </xdr:twoCellAnchor>
  <xdr:twoCellAnchor editAs="oneCell">
    <xdr:from>
      <xdr:col>38</xdr:col>
      <xdr:colOff>476250</xdr:colOff>
      <xdr:row>240</xdr:row>
      <xdr:rowOff>38101</xdr:rowOff>
    </xdr:from>
    <xdr:to>
      <xdr:col>40</xdr:col>
      <xdr:colOff>1181100</xdr:colOff>
      <xdr:row>254</xdr:row>
      <xdr:rowOff>124805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6EFB7C74-608C-4E8D-B477-032D1E2F3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6816030" y="44729401"/>
          <a:ext cx="3112770" cy="2647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090A-BFEC-4070-BF6A-1B7CE9066306}">
  <sheetPr>
    <pageSetUpPr fitToPage="1"/>
  </sheetPr>
  <dimension ref="A1:CN274"/>
  <sheetViews>
    <sheetView tabSelected="1" zoomScale="66" zoomScaleNormal="80" workbookViewId="0">
      <selection activeCell="AE46" sqref="AE46"/>
    </sheetView>
  </sheetViews>
  <sheetFormatPr defaultRowHeight="14.4" x14ac:dyDescent="0.3"/>
  <cols>
    <col min="1" max="1" width="14" customWidth="1"/>
    <col min="2" max="2" width="18.33203125" customWidth="1"/>
    <col min="3" max="3" width="13.33203125" customWidth="1"/>
    <col min="4" max="4" width="9.6640625" customWidth="1"/>
    <col min="5" max="5" width="15.44140625" customWidth="1"/>
    <col min="6" max="7" width="11" customWidth="1"/>
    <col min="8" max="8" width="11.44140625" customWidth="1"/>
    <col min="9" max="11" width="17.109375" customWidth="1"/>
    <col min="12" max="12" width="11" customWidth="1"/>
    <col min="13" max="13" width="12.6640625" customWidth="1"/>
    <col min="14" max="14" width="11.33203125" customWidth="1"/>
    <col min="15" max="15" width="18.5546875" customWidth="1"/>
    <col min="16" max="18" width="11" customWidth="1"/>
    <col min="19" max="21" width="15" customWidth="1"/>
    <col min="22" max="22" width="11" customWidth="1"/>
    <col min="23" max="23" width="13.33203125" customWidth="1"/>
    <col min="24" max="24" width="10.6640625" customWidth="1"/>
    <col min="25" max="25" width="15.5546875" customWidth="1"/>
    <col min="26" max="27" width="13.5546875" customWidth="1"/>
    <col min="28" max="28" width="11.6640625" customWidth="1"/>
    <col min="29" max="31" width="17.6640625" customWidth="1"/>
    <col min="32" max="32" width="13.5546875" customWidth="1"/>
    <col min="33" max="33" width="17.109375" customWidth="1"/>
    <col min="34" max="34" width="11.33203125" customWidth="1"/>
    <col min="35" max="35" width="16.109375" customWidth="1"/>
    <col min="36" max="38" width="14.109375" customWidth="1"/>
    <col min="39" max="41" width="17.5546875" customWidth="1"/>
    <col min="42" max="42" width="16.5546875" customWidth="1"/>
    <col min="43" max="43" width="14" customWidth="1"/>
    <col min="44" max="44" width="17.44140625" customWidth="1"/>
    <col min="45" max="45" width="15.6640625" customWidth="1"/>
    <col min="46" max="51" width="14.6640625" customWidth="1"/>
    <col min="53" max="53" width="14" customWidth="1"/>
    <col min="55" max="55" width="13.44140625" customWidth="1"/>
    <col min="56" max="61" width="13.88671875" customWidth="1"/>
    <col min="63" max="63" width="13.109375" customWidth="1"/>
    <col min="65" max="71" width="15.5546875" customWidth="1"/>
    <col min="72" max="72" width="16" bestFit="1" customWidth="1"/>
    <col min="73" max="73" width="14.88671875" customWidth="1"/>
    <col min="75" max="75" width="15.33203125" customWidth="1"/>
    <col min="76" max="81" width="13.33203125" customWidth="1"/>
    <col min="82" max="82" width="10" bestFit="1" customWidth="1"/>
    <col min="83" max="83" width="13.5546875" customWidth="1"/>
    <col min="85" max="91" width="15.109375" customWidth="1"/>
  </cols>
  <sheetData>
    <row r="1" spans="1:92" ht="15.6" thickTop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3" t="s">
        <v>0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4"/>
      <c r="BK1" s="5" t="s">
        <v>1</v>
      </c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7"/>
    </row>
    <row r="2" spans="1:92" ht="15.6" thickTop="1" thickBot="1" x14ac:dyDescent="0.35">
      <c r="A2" s="8" t="s">
        <v>2</v>
      </c>
      <c r="B2" s="2" t="s">
        <v>3</v>
      </c>
      <c r="C2" s="8" t="s">
        <v>4</v>
      </c>
      <c r="D2" s="8"/>
      <c r="E2" s="8"/>
      <c r="F2" s="8"/>
      <c r="G2" s="8"/>
      <c r="H2" s="8"/>
      <c r="I2" s="8"/>
      <c r="J2" s="8"/>
      <c r="K2" s="8"/>
      <c r="L2" s="8"/>
      <c r="M2" s="1" t="s">
        <v>5</v>
      </c>
      <c r="N2" s="1"/>
      <c r="O2" s="1"/>
      <c r="P2" s="1"/>
      <c r="Q2" s="1"/>
      <c r="R2" s="1"/>
      <c r="S2" s="1"/>
      <c r="T2" s="1"/>
      <c r="U2" s="1"/>
      <c r="V2" s="1"/>
      <c r="W2" s="8" t="s">
        <v>6</v>
      </c>
      <c r="X2" s="8"/>
      <c r="Y2" s="8"/>
      <c r="Z2" s="8"/>
      <c r="AA2" s="8"/>
      <c r="AB2" s="8"/>
      <c r="AC2" s="8"/>
      <c r="AD2" s="8"/>
      <c r="AE2" s="8"/>
      <c r="AF2" s="8"/>
      <c r="AG2" s="3" t="s">
        <v>7</v>
      </c>
      <c r="AH2" s="3"/>
      <c r="AI2" s="3"/>
      <c r="AJ2" s="3"/>
      <c r="AK2" s="3"/>
      <c r="AL2" s="3"/>
      <c r="AM2" s="3"/>
      <c r="AN2" s="3"/>
      <c r="AO2" s="3"/>
      <c r="AP2" s="4"/>
      <c r="AQ2" s="9" t="s">
        <v>8</v>
      </c>
      <c r="AR2" s="10"/>
      <c r="AS2" s="10"/>
      <c r="AT2" s="10"/>
      <c r="AU2" s="10"/>
      <c r="AV2" s="10"/>
      <c r="AW2" s="10"/>
      <c r="AX2" s="10"/>
      <c r="AY2" s="10"/>
      <c r="AZ2" s="11"/>
      <c r="BA2" s="12" t="s">
        <v>9</v>
      </c>
      <c r="BB2" s="3"/>
      <c r="BC2" s="3"/>
      <c r="BD2" s="3"/>
      <c r="BE2" s="3"/>
      <c r="BF2" s="3"/>
      <c r="BG2" s="3"/>
      <c r="BH2" s="3"/>
      <c r="BI2" s="3"/>
      <c r="BJ2" s="4"/>
      <c r="BK2" s="5" t="s">
        <v>7</v>
      </c>
      <c r="BL2" s="6"/>
      <c r="BM2" s="6"/>
      <c r="BN2" s="6"/>
      <c r="BO2" s="6"/>
      <c r="BP2" s="6"/>
      <c r="BQ2" s="6"/>
      <c r="BR2" s="6"/>
      <c r="BS2" s="6"/>
      <c r="BT2" s="7"/>
      <c r="BU2" s="13" t="s">
        <v>8</v>
      </c>
      <c r="BV2" s="14"/>
      <c r="BW2" s="14"/>
      <c r="BX2" s="14"/>
      <c r="BY2" s="14"/>
      <c r="BZ2" s="14"/>
      <c r="CA2" s="14"/>
      <c r="CB2" s="14"/>
      <c r="CC2" s="14"/>
      <c r="CD2" s="15"/>
      <c r="CE2" s="5" t="s">
        <v>9</v>
      </c>
      <c r="CF2" s="6"/>
      <c r="CG2" s="6"/>
      <c r="CH2" s="6"/>
      <c r="CI2" s="6"/>
      <c r="CJ2" s="6"/>
      <c r="CK2" s="6"/>
      <c r="CL2" s="6"/>
      <c r="CM2" s="6"/>
      <c r="CN2" s="7"/>
    </row>
    <row r="3" spans="1:92" ht="24" thickTop="1" thickBot="1" x14ac:dyDescent="0.35">
      <c r="A3" s="8"/>
      <c r="B3" s="2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7" t="s">
        <v>15</v>
      </c>
      <c r="H3" s="17" t="s">
        <v>16</v>
      </c>
      <c r="I3" s="17" t="s">
        <v>17</v>
      </c>
      <c r="J3" s="18" t="s">
        <v>18</v>
      </c>
      <c r="K3" s="18" t="s">
        <v>19</v>
      </c>
      <c r="L3" s="16" t="s">
        <v>20</v>
      </c>
      <c r="M3" s="2" t="s">
        <v>21</v>
      </c>
      <c r="N3" s="2" t="s">
        <v>12</v>
      </c>
      <c r="O3" s="2" t="s">
        <v>13</v>
      </c>
      <c r="P3" s="16" t="s">
        <v>14</v>
      </c>
      <c r="Q3" s="17" t="s">
        <v>15</v>
      </c>
      <c r="R3" s="17" t="s">
        <v>16</v>
      </c>
      <c r="S3" s="17" t="s">
        <v>17</v>
      </c>
      <c r="T3" s="18" t="s">
        <v>18</v>
      </c>
      <c r="U3" s="18" t="s">
        <v>19</v>
      </c>
      <c r="V3" s="16" t="s">
        <v>20</v>
      </c>
      <c r="W3" s="16" t="s">
        <v>11</v>
      </c>
      <c r="X3" s="16" t="s">
        <v>12</v>
      </c>
      <c r="Y3" s="16" t="s">
        <v>13</v>
      </c>
      <c r="Z3" s="16" t="s">
        <v>14</v>
      </c>
      <c r="AA3" s="17" t="s">
        <v>15</v>
      </c>
      <c r="AB3" s="17" t="s">
        <v>16</v>
      </c>
      <c r="AC3" s="17" t="s">
        <v>17</v>
      </c>
      <c r="AD3" s="18" t="s">
        <v>18</v>
      </c>
      <c r="AE3" s="18" t="s">
        <v>19</v>
      </c>
      <c r="AF3" s="16" t="s">
        <v>20</v>
      </c>
      <c r="AG3" s="19" t="s">
        <v>11</v>
      </c>
      <c r="AH3" s="19" t="s">
        <v>12</v>
      </c>
      <c r="AI3" s="19" t="s">
        <v>13</v>
      </c>
      <c r="AJ3" s="19" t="s">
        <v>22</v>
      </c>
      <c r="AK3" s="20" t="s">
        <v>15</v>
      </c>
      <c r="AL3" s="20" t="s">
        <v>16</v>
      </c>
      <c r="AM3" s="20" t="s">
        <v>17</v>
      </c>
      <c r="AN3" s="18" t="s">
        <v>18</v>
      </c>
      <c r="AO3" s="18" t="s">
        <v>19</v>
      </c>
      <c r="AP3" s="19" t="s">
        <v>23</v>
      </c>
      <c r="AQ3" s="21" t="s">
        <v>21</v>
      </c>
      <c r="AR3" s="21" t="s">
        <v>12</v>
      </c>
      <c r="AS3" s="21" t="s">
        <v>13</v>
      </c>
      <c r="AT3" s="21" t="s">
        <v>22</v>
      </c>
      <c r="AU3" s="20" t="s">
        <v>15</v>
      </c>
      <c r="AV3" s="20" t="s">
        <v>16</v>
      </c>
      <c r="AW3" s="20" t="s">
        <v>17</v>
      </c>
      <c r="AX3" s="18" t="s">
        <v>18</v>
      </c>
      <c r="AY3" s="18" t="s">
        <v>19</v>
      </c>
      <c r="AZ3" s="21" t="s">
        <v>20</v>
      </c>
      <c r="BA3" s="19" t="s">
        <v>11</v>
      </c>
      <c r="BB3" s="19" t="s">
        <v>12</v>
      </c>
      <c r="BC3" s="19" t="s">
        <v>13</v>
      </c>
      <c r="BD3" s="19" t="s">
        <v>22</v>
      </c>
      <c r="BE3" s="20" t="s">
        <v>15</v>
      </c>
      <c r="BF3" s="20" t="s">
        <v>16</v>
      </c>
      <c r="BG3" s="20" t="s">
        <v>17</v>
      </c>
      <c r="BH3" s="18" t="s">
        <v>18</v>
      </c>
      <c r="BI3" s="18" t="s">
        <v>19</v>
      </c>
      <c r="BJ3" s="19" t="s">
        <v>20</v>
      </c>
      <c r="BK3" s="19" t="s">
        <v>11</v>
      </c>
      <c r="BL3" s="19" t="s">
        <v>12</v>
      </c>
      <c r="BM3" s="19" t="s">
        <v>13</v>
      </c>
      <c r="BN3" s="19" t="s">
        <v>22</v>
      </c>
      <c r="BO3" s="20" t="s">
        <v>15</v>
      </c>
      <c r="BP3" s="20" t="s">
        <v>16</v>
      </c>
      <c r="BQ3" s="20" t="s">
        <v>17</v>
      </c>
      <c r="BR3" s="18" t="s">
        <v>18</v>
      </c>
      <c r="BS3" s="18" t="s">
        <v>19</v>
      </c>
      <c r="BT3" s="19" t="s">
        <v>23</v>
      </c>
      <c r="BU3" s="21" t="s">
        <v>21</v>
      </c>
      <c r="BV3" s="21" t="s">
        <v>12</v>
      </c>
      <c r="BW3" s="21" t="s">
        <v>13</v>
      </c>
      <c r="BX3" s="19" t="s">
        <v>22</v>
      </c>
      <c r="BY3" s="20" t="s">
        <v>15</v>
      </c>
      <c r="BZ3" s="20" t="s">
        <v>16</v>
      </c>
      <c r="CA3" s="20" t="s">
        <v>17</v>
      </c>
      <c r="CB3" s="18" t="s">
        <v>18</v>
      </c>
      <c r="CC3" s="18" t="s">
        <v>19</v>
      </c>
      <c r="CD3" s="21" t="s">
        <v>20</v>
      </c>
      <c r="CE3" s="19" t="s">
        <v>11</v>
      </c>
      <c r="CF3" s="19" t="s">
        <v>12</v>
      </c>
      <c r="CG3" s="19" t="s">
        <v>13</v>
      </c>
      <c r="CH3" s="19" t="s">
        <v>22</v>
      </c>
      <c r="CI3" s="20" t="s">
        <v>15</v>
      </c>
      <c r="CJ3" s="20" t="s">
        <v>16</v>
      </c>
      <c r="CK3" s="20" t="s">
        <v>17</v>
      </c>
      <c r="CL3" s="18" t="s">
        <v>18</v>
      </c>
      <c r="CM3" s="18" t="s">
        <v>19</v>
      </c>
      <c r="CN3" s="22" t="s">
        <v>20</v>
      </c>
    </row>
    <row r="4" spans="1:92" ht="15.6" thickTop="1" thickBot="1" x14ac:dyDescent="0.35">
      <c r="A4" s="23">
        <v>2016</v>
      </c>
      <c r="B4" s="24" t="s">
        <v>24</v>
      </c>
      <c r="C4" s="25">
        <v>836294</v>
      </c>
      <c r="D4" s="23">
        <v>21</v>
      </c>
      <c r="E4" s="26">
        <f>(D4/C4)*100000</f>
        <v>2.5110786398084883</v>
      </c>
      <c r="F4" s="27">
        <f>LN(E4)</f>
        <v>0.92071239780869707</v>
      </c>
      <c r="G4" s="28">
        <v>-7.46E-2</v>
      </c>
      <c r="H4" s="28">
        <v>0.50960000000000005</v>
      </c>
      <c r="I4" s="29">
        <v>6.7500000000000004E-2</v>
      </c>
      <c r="J4" s="30">
        <f>(EXP(-0.158)-1)*100</f>
        <v>-14.615021803151828</v>
      </c>
      <c r="K4" s="30">
        <f>(EXP(0.009)-1)*100</f>
        <v>0.90406217738678851</v>
      </c>
      <c r="L4" s="30">
        <f>(EXP(-0.0746)-1)*100</f>
        <v>-7.1885342047539824</v>
      </c>
      <c r="M4" s="25">
        <v>416618</v>
      </c>
      <c r="N4" s="23">
        <v>14</v>
      </c>
      <c r="O4" s="26">
        <f>(N4/M4)*100000</f>
        <v>3.3603924938432805</v>
      </c>
      <c r="P4" s="27">
        <f>LN(O4)</f>
        <v>1.2120577807967639</v>
      </c>
      <c r="Q4" s="31">
        <v>-9.1399999999999995E-2</v>
      </c>
      <c r="R4" s="31">
        <v>0.47470000000000001</v>
      </c>
      <c r="S4" s="32">
        <v>7.85E-2</v>
      </c>
      <c r="T4" s="30">
        <f>(EXP(-0.199)-1)*100</f>
        <v>-18.045010666707441</v>
      </c>
      <c r="U4" s="30">
        <f>(EXP(0.017)-1)*100</f>
        <v>1.7145322325240686</v>
      </c>
      <c r="V4" s="30">
        <f>(EXP(-0.0914)-1)*100</f>
        <v>-8.7347423153414923</v>
      </c>
      <c r="W4" s="25">
        <v>419676</v>
      </c>
      <c r="X4" s="23">
        <v>7</v>
      </c>
      <c r="Y4" s="26">
        <f>(X4/W4)*100000</f>
        <v>1.6679533735548377</v>
      </c>
      <c r="Z4" s="27">
        <f>LN(Y4)</f>
        <v>0.5115973500415546</v>
      </c>
      <c r="AA4" s="31">
        <v>-4.5999999999999999E-2</v>
      </c>
      <c r="AB4" s="31">
        <v>0.13869999999999999</v>
      </c>
      <c r="AC4" s="32">
        <v>0.25019999999999998</v>
      </c>
      <c r="AD4" s="30">
        <f>(EXP(-0.141)-1)*100</f>
        <v>-13.151068830233214</v>
      </c>
      <c r="AE4" s="30">
        <f>(EXP(0.049)-1)*100</f>
        <v>5.0220350740028064</v>
      </c>
      <c r="AF4" s="30">
        <f>(EXP(AA4)-1)*100</f>
        <v>-4.4958037809285312</v>
      </c>
      <c r="AG4" s="33">
        <v>17822</v>
      </c>
      <c r="AH4" s="34">
        <v>0.01</v>
      </c>
      <c r="AI4" s="35">
        <f>(AH4/AG4)*100000</f>
        <v>5.6110425317023899E-2</v>
      </c>
      <c r="AJ4" s="36">
        <f>LN(AI4)</f>
        <v>-2.880433649190528</v>
      </c>
      <c r="AK4" s="37">
        <v>-4.3700000000000003E-2</v>
      </c>
      <c r="AL4" s="37">
        <v>0.996</v>
      </c>
      <c r="AM4" s="38" t="s">
        <v>25</v>
      </c>
      <c r="AN4" s="39">
        <f>(EXP(-0.047) - 1) * 100</f>
        <v>-4.5912602409628906</v>
      </c>
      <c r="AO4" s="39">
        <f>(EXP(-0.04) - 1) * 100</f>
        <v>-3.9210560847676823</v>
      </c>
      <c r="AP4" s="40">
        <f>(EXP(AK4)-1)*100</f>
        <v>-4.2758913272476722</v>
      </c>
      <c r="AQ4" s="33">
        <v>9214</v>
      </c>
      <c r="AR4" s="34">
        <v>2</v>
      </c>
      <c r="AS4" s="41">
        <f>(AR4/AQ4)*100000</f>
        <v>21.706099413935316</v>
      </c>
      <c r="AT4" s="36">
        <f>LN(AS4)</f>
        <v>3.0775933000343114</v>
      </c>
      <c r="AU4" s="42">
        <v>-0.18540000000000001</v>
      </c>
      <c r="AV4" s="42">
        <v>0.16289999999999999</v>
      </c>
      <c r="AW4" s="43">
        <v>0.23280000000000001</v>
      </c>
      <c r="AX4" s="39">
        <f>(EXP(-0.552) - 1) * 100</f>
        <v>-42.42029361095355</v>
      </c>
      <c r="AY4" s="39">
        <f>(EXP(0.181) - 1) * 100</f>
        <v>19.841517929319963</v>
      </c>
      <c r="AZ4" s="40">
        <f>(EXP(AU4)-1)*100</f>
        <v>-16.922809138193674</v>
      </c>
      <c r="BA4" s="33">
        <v>4181</v>
      </c>
      <c r="BB4" s="34">
        <v>12</v>
      </c>
      <c r="BC4" s="41">
        <f>(BB4/BA4)*100000</f>
        <v>287.01267639320736</v>
      </c>
      <c r="BD4" s="36">
        <f>LN(BC4)</f>
        <v>5.6595263834016638</v>
      </c>
      <c r="BE4" s="42">
        <v>-0.1114</v>
      </c>
      <c r="BF4" s="42">
        <v>0.66080000000000005</v>
      </c>
      <c r="BG4" s="43">
        <v>3.0499999999999999E-2</v>
      </c>
      <c r="BH4" s="39">
        <f>(EXP(-0.206) - 1) * 100</f>
        <v>-18.616692371707934</v>
      </c>
      <c r="BI4" s="39">
        <f>(EXP(-0.017) - 1) * 100</f>
        <v>-1.6856315365090357</v>
      </c>
      <c r="BJ4" s="40">
        <f>(EXP(BE4)-1)*100</f>
        <v>-10.541915498498577</v>
      </c>
      <c r="BK4" s="33">
        <v>17803</v>
      </c>
      <c r="BL4" s="34">
        <v>0.01</v>
      </c>
      <c r="BM4" s="44">
        <f>(BL4/BK4)*100000</f>
        <v>5.6170308374992983E-2</v>
      </c>
      <c r="BN4" s="36">
        <f t="shared" ref="BN4:BN44" si="0">LN(BM4)</f>
        <v>-2.8793669824227255</v>
      </c>
      <c r="BO4" s="42">
        <v>-3.8600000000000002E-2</v>
      </c>
      <c r="BP4" s="42">
        <v>0.99770000000000003</v>
      </c>
      <c r="BQ4" s="43" t="s">
        <v>25</v>
      </c>
      <c r="BR4" s="39">
        <f>(EXP(-0.041) - 1) * 100</f>
        <v>-4.0170870052201106</v>
      </c>
      <c r="BS4" s="39">
        <f>(EXP(-0.036) - 1) * 100</f>
        <v>-3.5359706516876921</v>
      </c>
      <c r="BT4" s="40">
        <f>(EXP(BO4)-1)*100</f>
        <v>-3.7864513619658258</v>
      </c>
      <c r="BU4" s="33">
        <v>8913</v>
      </c>
      <c r="BV4" s="34">
        <v>1</v>
      </c>
      <c r="BW4" s="45">
        <f>(BV4/BU4)*100000</f>
        <v>11.219566924716705</v>
      </c>
      <c r="BX4" s="36">
        <f>LN(BW4)</f>
        <v>2.4176593008395111</v>
      </c>
      <c r="BY4" s="42">
        <v>0.11940000000000001</v>
      </c>
      <c r="BZ4" s="42">
        <v>-0.11799999999999999</v>
      </c>
      <c r="CA4" s="43">
        <v>0.52980000000000005</v>
      </c>
      <c r="CB4" s="39">
        <f>(EXP(-0.363) - 1) * 100</f>
        <v>-30.441356650090491</v>
      </c>
      <c r="CC4" s="39">
        <f>(EXP(0.602) - 1) * 100</f>
        <v>82.57666846595977</v>
      </c>
      <c r="CD4" s="40">
        <f>(EXP(BY4)-1)*100</f>
        <v>12.682055637727752</v>
      </c>
      <c r="CE4" s="33">
        <v>3865</v>
      </c>
      <c r="CF4" s="34">
        <v>6</v>
      </c>
      <c r="CG4" s="45">
        <f>(CF4/CE4)*100000</f>
        <v>155.23932729624838</v>
      </c>
      <c r="CH4" s="36">
        <f>LN(CG4)</f>
        <v>5.0449679731767612</v>
      </c>
      <c r="CI4" s="42">
        <v>-0.16059999999999999</v>
      </c>
      <c r="CJ4" s="42">
        <v>0.64749999999999996</v>
      </c>
      <c r="CK4" s="43">
        <v>3.3099999999999997E-2</v>
      </c>
      <c r="CL4" s="39">
        <f>(EXP(-0.3) - 1) * 100</f>
        <v>-25.918177931828211</v>
      </c>
      <c r="CM4" s="39">
        <f>(EXP(-0.021) - 1) * 100</f>
        <v>-2.078103543054044</v>
      </c>
      <c r="CN4" s="40">
        <f>(EXP(CI4)-1)*100</f>
        <v>-14.836734395195894</v>
      </c>
    </row>
    <row r="5" spans="1:92" ht="15.6" thickTop="1" thickBot="1" x14ac:dyDescent="0.35">
      <c r="A5" s="23">
        <v>2017</v>
      </c>
      <c r="B5" s="24"/>
      <c r="C5" s="25">
        <v>844496</v>
      </c>
      <c r="D5" s="23">
        <v>22</v>
      </c>
      <c r="E5" s="26">
        <f t="shared" ref="E5:E45" si="1">(D5/C5)*100000</f>
        <v>2.6051041094333187</v>
      </c>
      <c r="F5" s="27">
        <f t="shared" ref="F5:F44" si="2">LN(E5)</f>
        <v>0.95747263964026119</v>
      </c>
      <c r="G5" s="28"/>
      <c r="H5" s="28"/>
      <c r="I5" s="29"/>
      <c r="J5" s="30"/>
      <c r="K5" s="30"/>
      <c r="L5" s="30"/>
      <c r="M5" s="25">
        <v>420751</v>
      </c>
      <c r="N5" s="23">
        <v>13</v>
      </c>
      <c r="O5" s="26">
        <f t="shared" ref="O5:O45" si="3">(N5/M5)*100000</f>
        <v>3.0897133934322203</v>
      </c>
      <c r="P5" s="27">
        <f t="shared" ref="P5:P45" si="4">LN(O5)</f>
        <v>1.128078333673278</v>
      </c>
      <c r="Q5" s="31"/>
      <c r="R5" s="31"/>
      <c r="S5" s="32"/>
      <c r="T5" s="30"/>
      <c r="U5" s="30"/>
      <c r="V5" s="30"/>
      <c r="W5" s="25">
        <v>423745</v>
      </c>
      <c r="X5" s="23">
        <v>9</v>
      </c>
      <c r="Y5" s="26">
        <f t="shared" ref="Y5:Y45" si="5">(X5/W5)*100000</f>
        <v>2.1239188662993072</v>
      </c>
      <c r="Z5" s="27">
        <f t="shared" ref="Z5:Z45" si="6">LN(Y5)</f>
        <v>0.75326290410929375</v>
      </c>
      <c r="AA5" s="31"/>
      <c r="AB5" s="31"/>
      <c r="AC5" s="32"/>
      <c r="AD5" s="30"/>
      <c r="AE5" s="30"/>
      <c r="AF5" s="30"/>
      <c r="AG5" s="33">
        <v>18726</v>
      </c>
      <c r="AH5" s="34">
        <v>0.01</v>
      </c>
      <c r="AI5" s="35">
        <f t="shared" ref="AI5:AI45" si="7">(AH5/AG5)*100000</f>
        <v>5.3401687493324787E-2</v>
      </c>
      <c r="AJ5" s="36">
        <f t="shared" ref="AJ5:AJ45" si="8">LN(AI5)</f>
        <v>-2.9299129325166975</v>
      </c>
      <c r="AK5" s="37"/>
      <c r="AL5" s="37"/>
      <c r="AM5" s="38"/>
      <c r="AN5" s="46"/>
      <c r="AO5" s="46"/>
      <c r="AP5" s="40"/>
      <c r="AQ5" s="33">
        <v>9612</v>
      </c>
      <c r="AR5" s="34">
        <v>4</v>
      </c>
      <c r="AS5" s="41">
        <f>(AR5/AQ5)*100000</f>
        <v>41.614648356221394</v>
      </c>
      <c r="AT5" s="36">
        <f>LN(AS5)</f>
        <v>3.7284522292337594</v>
      </c>
      <c r="AU5" s="47"/>
      <c r="AV5" s="47"/>
      <c r="AW5" s="48"/>
      <c r="AX5" s="46"/>
      <c r="AY5" s="46"/>
      <c r="AZ5" s="40"/>
      <c r="BA5" s="33">
        <v>4342</v>
      </c>
      <c r="BB5" s="34">
        <v>9</v>
      </c>
      <c r="BC5" s="41">
        <f t="shared" ref="BC5:BC45" si="9">(BB5/BA5)*100000</f>
        <v>207.27775218793184</v>
      </c>
      <c r="BD5" s="36">
        <f t="shared" ref="BD5:BD45" si="10">LN(BC5)</f>
        <v>5.3340596918682106</v>
      </c>
      <c r="BE5" s="47"/>
      <c r="BF5" s="47"/>
      <c r="BG5" s="48"/>
      <c r="BH5" s="46"/>
      <c r="BI5" s="46"/>
      <c r="BJ5" s="40"/>
      <c r="BK5" s="33">
        <v>18583</v>
      </c>
      <c r="BL5" s="34">
        <v>0.01</v>
      </c>
      <c r="BM5" s="44">
        <f t="shared" ref="BM5:BM11" si="11">(BL5/BK5)*100000</f>
        <v>5.3812624441694018E-2</v>
      </c>
      <c r="BN5" s="36">
        <f t="shared" si="0"/>
        <v>-2.9222471842915136</v>
      </c>
      <c r="BO5" s="47"/>
      <c r="BP5" s="47"/>
      <c r="BQ5" s="48"/>
      <c r="BR5" s="46"/>
      <c r="BS5" s="46"/>
      <c r="BT5" s="40"/>
      <c r="BU5" s="33">
        <v>9268</v>
      </c>
      <c r="BV5" s="34">
        <v>4</v>
      </c>
      <c r="BW5" s="45">
        <f t="shared" ref="BW5:BW45" si="12">(BV5/BU5)*100000</f>
        <v>43.159257660768233</v>
      </c>
      <c r="BX5" s="36">
        <f t="shared" ref="BX5:BX45" si="13">LN(BW5)</f>
        <v>3.7648969405378523</v>
      </c>
      <c r="BY5" s="47"/>
      <c r="BZ5" s="47"/>
      <c r="CA5" s="48"/>
      <c r="CB5" s="46"/>
      <c r="CC5" s="46"/>
      <c r="CD5" s="40"/>
      <c r="CE5" s="33">
        <v>3971</v>
      </c>
      <c r="CF5" s="34">
        <v>5</v>
      </c>
      <c r="CG5" s="45">
        <f t="shared" ref="CG5:CG45" si="14">(CF5/CE5)*100000</f>
        <v>125.91286829513977</v>
      </c>
      <c r="CH5" s="36">
        <f t="shared" ref="CH5:CH45" si="15">LN(CG5)</f>
        <v>4.835590146273077</v>
      </c>
      <c r="CI5" s="47"/>
      <c r="CJ5" s="47"/>
      <c r="CK5" s="48"/>
      <c r="CL5" s="46"/>
      <c r="CM5" s="46"/>
      <c r="CN5" s="40"/>
    </row>
    <row r="6" spans="1:92" ht="15.6" thickTop="1" thickBot="1" x14ac:dyDescent="0.35">
      <c r="A6" s="23">
        <v>2018</v>
      </c>
      <c r="B6" s="24"/>
      <c r="C6" s="25">
        <v>851504</v>
      </c>
      <c r="D6" s="23">
        <v>16</v>
      </c>
      <c r="E6" s="26">
        <f t="shared" si="1"/>
        <v>1.8790281666322177</v>
      </c>
      <c r="F6" s="27">
        <f t="shared" si="2"/>
        <v>0.63075471054367938</v>
      </c>
      <c r="G6" s="28"/>
      <c r="H6" s="28"/>
      <c r="I6" s="29"/>
      <c r="J6" s="30"/>
      <c r="K6" s="30"/>
      <c r="L6" s="30"/>
      <c r="M6" s="25">
        <v>424282</v>
      </c>
      <c r="N6" s="23">
        <v>10</v>
      </c>
      <c r="O6" s="26">
        <f t="shared" si="3"/>
        <v>2.3569229898982282</v>
      </c>
      <c r="P6" s="27">
        <f t="shared" si="4"/>
        <v>0.8573569504877776</v>
      </c>
      <c r="Q6" s="31"/>
      <c r="R6" s="31"/>
      <c r="S6" s="32"/>
      <c r="T6" s="30"/>
      <c r="U6" s="30"/>
      <c r="V6" s="30"/>
      <c r="W6" s="25">
        <v>427222</v>
      </c>
      <c r="X6" s="23">
        <v>6</v>
      </c>
      <c r="Y6" s="26">
        <f t="shared" si="5"/>
        <v>1.4044220569165446</v>
      </c>
      <c r="Z6" s="27">
        <f t="shared" si="6"/>
        <v>0.33962587076880357</v>
      </c>
      <c r="AA6" s="31"/>
      <c r="AB6" s="31"/>
      <c r="AC6" s="32"/>
      <c r="AD6" s="30"/>
      <c r="AE6" s="30"/>
      <c r="AF6" s="30"/>
      <c r="AG6" s="33">
        <v>19640</v>
      </c>
      <c r="AH6" s="34">
        <v>0.01</v>
      </c>
      <c r="AI6" s="35">
        <f t="shared" si="7"/>
        <v>5.0916496945010187E-2</v>
      </c>
      <c r="AJ6" s="36">
        <f t="shared" si="8"/>
        <v>-2.9775683029263198</v>
      </c>
      <c r="AK6" s="37"/>
      <c r="AL6" s="37"/>
      <c r="AM6" s="38"/>
      <c r="AN6" s="46"/>
      <c r="AO6" s="46"/>
      <c r="AP6" s="40"/>
      <c r="AQ6" s="33">
        <v>10022</v>
      </c>
      <c r="AR6" s="34">
        <v>2</v>
      </c>
      <c r="AS6" s="41">
        <f t="shared" ref="AS6:AS45" si="16">(AR6/AQ6)*100000</f>
        <v>19.956096587507485</v>
      </c>
      <c r="AT6" s="36">
        <f t="shared" ref="AT6:AT45" si="17">LN(AS6)</f>
        <v>2.9935346900105038</v>
      </c>
      <c r="AU6" s="47"/>
      <c r="AV6" s="47"/>
      <c r="AW6" s="48"/>
      <c r="AX6" s="46"/>
      <c r="AY6" s="46"/>
      <c r="AZ6" s="40"/>
      <c r="BA6" s="33">
        <v>4518</v>
      </c>
      <c r="BB6" s="34">
        <v>8</v>
      </c>
      <c r="BC6" s="41">
        <f t="shared" si="9"/>
        <v>177.06949977866313</v>
      </c>
      <c r="BD6" s="36">
        <f t="shared" si="10"/>
        <v>5.1765423096221159</v>
      </c>
      <c r="BE6" s="47"/>
      <c r="BF6" s="47"/>
      <c r="BG6" s="48"/>
      <c r="BH6" s="46"/>
      <c r="BI6" s="46"/>
      <c r="BJ6" s="40"/>
      <c r="BK6" s="33">
        <v>19364</v>
      </c>
      <c r="BL6" s="34">
        <v>0.01</v>
      </c>
      <c r="BM6" s="44">
        <f t="shared" si="11"/>
        <v>5.1642222681264199E-2</v>
      </c>
      <c r="BN6" s="36">
        <f t="shared" si="0"/>
        <v>-2.9634156720774478</v>
      </c>
      <c r="BO6" s="47"/>
      <c r="BP6" s="47"/>
      <c r="BQ6" s="48"/>
      <c r="BR6" s="46"/>
      <c r="BS6" s="46"/>
      <c r="BT6" s="40"/>
      <c r="BU6" s="33">
        <v>9636</v>
      </c>
      <c r="BV6" s="34">
        <v>1</v>
      </c>
      <c r="BW6" s="45">
        <f t="shared" si="12"/>
        <v>10.377750103777501</v>
      </c>
      <c r="BX6" s="36">
        <f t="shared" si="13"/>
        <v>2.3396641012354666</v>
      </c>
      <c r="BY6" s="47"/>
      <c r="BZ6" s="47"/>
      <c r="CA6" s="48"/>
      <c r="CB6" s="46"/>
      <c r="CC6" s="46"/>
      <c r="CD6" s="40"/>
      <c r="CE6" s="33">
        <v>4084</v>
      </c>
      <c r="CF6" s="34">
        <v>5</v>
      </c>
      <c r="CG6" s="45">
        <f t="shared" si="14"/>
        <v>122.42899118511265</v>
      </c>
      <c r="CH6" s="36">
        <f t="shared" si="15"/>
        <v>4.807531198119773</v>
      </c>
      <c r="CI6" s="47"/>
      <c r="CJ6" s="47"/>
      <c r="CK6" s="48"/>
      <c r="CL6" s="46"/>
      <c r="CM6" s="46"/>
      <c r="CN6" s="40"/>
    </row>
    <row r="7" spans="1:92" ht="15.6" thickTop="1" thickBot="1" x14ac:dyDescent="0.35">
      <c r="A7" s="23">
        <v>2019</v>
      </c>
      <c r="B7" s="24"/>
      <c r="C7" s="25">
        <v>857919</v>
      </c>
      <c r="D7" s="23">
        <v>15</v>
      </c>
      <c r="E7" s="26">
        <f t="shared" si="1"/>
        <v>1.7484168085798308</v>
      </c>
      <c r="F7" s="27">
        <f t="shared" si="2"/>
        <v>0.55871069765323333</v>
      </c>
      <c r="G7" s="28"/>
      <c r="H7" s="28"/>
      <c r="I7" s="29"/>
      <c r="J7" s="30"/>
      <c r="K7" s="30"/>
      <c r="L7" s="30"/>
      <c r="M7" s="25">
        <v>427514</v>
      </c>
      <c r="N7" s="23">
        <v>8</v>
      </c>
      <c r="O7" s="26">
        <f t="shared" si="3"/>
        <v>1.8712837474328325</v>
      </c>
      <c r="P7" s="27">
        <f t="shared" si="4"/>
        <v>0.6266246912893223</v>
      </c>
      <c r="Q7" s="31"/>
      <c r="R7" s="31"/>
      <c r="S7" s="32"/>
      <c r="T7" s="30"/>
      <c r="U7" s="30"/>
      <c r="V7" s="30"/>
      <c r="W7" s="25">
        <v>430405</v>
      </c>
      <c r="X7" s="23">
        <v>7</v>
      </c>
      <c r="Y7" s="26">
        <f t="shared" si="5"/>
        <v>1.6263751582811536</v>
      </c>
      <c r="Z7" s="27">
        <f>LN(Y7)</f>
        <v>0.48635370916293613</v>
      </c>
      <c r="AA7" s="31"/>
      <c r="AB7" s="31"/>
      <c r="AC7" s="32"/>
      <c r="AD7" s="30"/>
      <c r="AE7" s="30"/>
      <c r="AF7" s="30"/>
      <c r="AG7" s="33">
        <v>20550</v>
      </c>
      <c r="AH7" s="34">
        <v>0.01</v>
      </c>
      <c r="AI7" s="35">
        <f t="shared" si="7"/>
        <v>4.8661800486618001E-2</v>
      </c>
      <c r="AJ7" s="36">
        <f>LN(AI7)</f>
        <v>-3.0228609409422438</v>
      </c>
      <c r="AK7" s="37"/>
      <c r="AL7" s="37"/>
      <c r="AM7" s="38"/>
      <c r="AN7" s="46"/>
      <c r="AO7" s="46"/>
      <c r="AP7" s="40"/>
      <c r="AQ7" s="33">
        <v>10464</v>
      </c>
      <c r="AR7" s="34">
        <v>1</v>
      </c>
      <c r="AS7" s="41">
        <f t="shared" si="16"/>
        <v>9.5565749235474016</v>
      </c>
      <c r="AT7" s="36">
        <f t="shared" si="17"/>
        <v>2.2572293912732486</v>
      </c>
      <c r="AU7" s="47"/>
      <c r="AV7" s="47"/>
      <c r="AW7" s="48"/>
      <c r="AX7" s="46"/>
      <c r="AY7" s="46"/>
      <c r="AZ7" s="40"/>
      <c r="BA7" s="33">
        <v>4716</v>
      </c>
      <c r="BB7" s="34">
        <v>7</v>
      </c>
      <c r="BC7" s="41">
        <f t="shared" si="9"/>
        <v>148.43087362171332</v>
      </c>
      <c r="BD7" s="36">
        <f t="shared" si="10"/>
        <v>5.0001193523682801</v>
      </c>
      <c r="BE7" s="47"/>
      <c r="BF7" s="47"/>
      <c r="BG7" s="48"/>
      <c r="BH7" s="46"/>
      <c r="BI7" s="46"/>
      <c r="BJ7" s="40"/>
      <c r="BK7" s="33">
        <v>20128</v>
      </c>
      <c r="BL7" s="34">
        <v>0.01</v>
      </c>
      <c r="BM7" s="44">
        <f t="shared" si="11"/>
        <v>4.9682034976152624E-2</v>
      </c>
      <c r="BN7" s="36">
        <f t="shared" si="0"/>
        <v>-3.0021118805180298</v>
      </c>
      <c r="BO7" s="47"/>
      <c r="BP7" s="47"/>
      <c r="BQ7" s="48"/>
      <c r="BR7" s="46"/>
      <c r="BS7" s="46"/>
      <c r="BT7" s="40"/>
      <c r="BU7" s="33">
        <v>10027</v>
      </c>
      <c r="BV7" s="34">
        <v>1</v>
      </c>
      <c r="BW7" s="45">
        <f t="shared" si="12"/>
        <v>9.9730727037000104</v>
      </c>
      <c r="BX7" s="36">
        <f t="shared" si="13"/>
        <v>2.2998887314463032</v>
      </c>
      <c r="BY7" s="47"/>
      <c r="BZ7" s="47"/>
      <c r="CA7" s="48"/>
      <c r="CB7" s="46"/>
      <c r="CC7" s="46"/>
      <c r="CD7" s="40"/>
      <c r="CE7" s="33">
        <v>4195</v>
      </c>
      <c r="CF7" s="34">
        <v>6</v>
      </c>
      <c r="CG7" s="45">
        <f t="shared" si="14"/>
        <v>143.02741358760429</v>
      </c>
      <c r="CH7" s="36">
        <f t="shared" si="15"/>
        <v>4.9630363152969768</v>
      </c>
      <c r="CI7" s="47"/>
      <c r="CJ7" s="47"/>
      <c r="CK7" s="48"/>
      <c r="CL7" s="46"/>
      <c r="CM7" s="46"/>
      <c r="CN7" s="40"/>
    </row>
    <row r="8" spans="1:92" ht="15.6" thickTop="1" thickBot="1" x14ac:dyDescent="0.35">
      <c r="A8" s="23">
        <v>2020</v>
      </c>
      <c r="B8" s="24"/>
      <c r="C8" s="25">
        <v>863657</v>
      </c>
      <c r="D8" s="23">
        <v>18</v>
      </c>
      <c r="E8" s="26">
        <f t="shared" si="1"/>
        <v>2.0841607258437089</v>
      </c>
      <c r="F8" s="27">
        <f t="shared" si="2"/>
        <v>0.73436624464262701</v>
      </c>
      <c r="G8" s="28"/>
      <c r="H8" s="28"/>
      <c r="I8" s="29"/>
      <c r="J8" s="30"/>
      <c r="K8" s="30"/>
      <c r="L8" s="30"/>
      <c r="M8" s="25">
        <v>430469</v>
      </c>
      <c r="N8" s="23">
        <v>11</v>
      </c>
      <c r="O8" s="26">
        <f t="shared" si="3"/>
        <v>2.5553524179441491</v>
      </c>
      <c r="P8" s="27">
        <f t="shared" si="4"/>
        <v>0.9381901468029914</v>
      </c>
      <c r="Q8" s="31"/>
      <c r="R8" s="31"/>
      <c r="S8" s="32"/>
      <c r="T8" s="30"/>
      <c r="U8" s="30"/>
      <c r="V8" s="30"/>
      <c r="W8" s="25">
        <v>433188</v>
      </c>
      <c r="X8" s="23">
        <v>7</v>
      </c>
      <c r="Y8" s="26">
        <f t="shared" si="5"/>
        <v>1.6159265722965548</v>
      </c>
      <c r="Z8" s="27">
        <f t="shared" si="6"/>
        <v>0.47990852113126914</v>
      </c>
      <c r="AA8" s="31"/>
      <c r="AB8" s="31"/>
      <c r="AC8" s="32"/>
      <c r="AD8" s="30"/>
      <c r="AE8" s="30"/>
      <c r="AF8" s="30"/>
      <c r="AG8" s="33">
        <v>21418</v>
      </c>
      <c r="AH8" s="34">
        <v>0.01</v>
      </c>
      <c r="AI8" s="35">
        <f t="shared" si="7"/>
        <v>4.6689700252124378E-2</v>
      </c>
      <c r="AJ8" s="36">
        <f>LN(AI8)</f>
        <v>-3.0642316899786834</v>
      </c>
      <c r="AK8" s="37"/>
      <c r="AL8" s="37"/>
      <c r="AM8" s="38"/>
      <c r="AN8" s="46"/>
      <c r="AO8" s="46"/>
      <c r="AP8" s="40"/>
      <c r="AQ8" s="33">
        <v>10916</v>
      </c>
      <c r="AR8" s="34">
        <v>3</v>
      </c>
      <c r="AS8" s="41">
        <f t="shared" si="16"/>
        <v>27.482594356907295</v>
      </c>
      <c r="AT8" s="36">
        <f t="shared" si="17"/>
        <v>3.313552871810109</v>
      </c>
      <c r="AU8" s="47"/>
      <c r="AV8" s="47"/>
      <c r="AW8" s="48"/>
      <c r="AX8" s="46"/>
      <c r="AY8" s="46"/>
      <c r="AZ8" s="40"/>
      <c r="BA8" s="33">
        <v>4908</v>
      </c>
      <c r="BB8" s="34">
        <v>8</v>
      </c>
      <c r="BC8" s="41">
        <f t="shared" si="9"/>
        <v>162.99918500407497</v>
      </c>
      <c r="BD8" s="36">
        <f t="shared" si="10"/>
        <v>5.0937452008192619</v>
      </c>
      <c r="BE8" s="47"/>
      <c r="BF8" s="47"/>
      <c r="BG8" s="48"/>
      <c r="BH8" s="46"/>
      <c r="BI8" s="46"/>
      <c r="BJ8" s="40"/>
      <c r="BK8" s="33">
        <v>20816</v>
      </c>
      <c r="BL8" s="34">
        <v>0.01</v>
      </c>
      <c r="BM8" s="44">
        <f t="shared" si="11"/>
        <v>4.8039969254419682E-2</v>
      </c>
      <c r="BN8" s="36">
        <f t="shared" si="0"/>
        <v>-3.0357219217701492</v>
      </c>
      <c r="BO8" s="47"/>
      <c r="BP8" s="47"/>
      <c r="BQ8" s="48"/>
      <c r="BR8" s="46"/>
      <c r="BS8" s="46"/>
      <c r="BT8" s="40"/>
      <c r="BU8" s="33">
        <v>10381</v>
      </c>
      <c r="BV8" s="34">
        <v>4</v>
      </c>
      <c r="BW8" s="45">
        <f t="shared" si="12"/>
        <v>38.531933339755327</v>
      </c>
      <c r="BX8" s="36">
        <f t="shared" si="13"/>
        <v>3.6514873348968737</v>
      </c>
      <c r="BY8" s="47"/>
      <c r="BZ8" s="47"/>
      <c r="CA8" s="48"/>
      <c r="CB8" s="46"/>
      <c r="CC8" s="46"/>
      <c r="CD8" s="40"/>
      <c r="CE8" s="33">
        <v>4271</v>
      </c>
      <c r="CF8" s="34">
        <v>3</v>
      </c>
      <c r="CG8" s="45">
        <f t="shared" si="14"/>
        <v>70.241161320533834</v>
      </c>
      <c r="CH8" s="36">
        <f t="shared" si="15"/>
        <v>4.2519344827968713</v>
      </c>
      <c r="CI8" s="47"/>
      <c r="CJ8" s="47"/>
      <c r="CK8" s="48"/>
      <c r="CL8" s="46"/>
      <c r="CM8" s="46"/>
      <c r="CN8" s="40"/>
    </row>
    <row r="9" spans="1:92" ht="15.6" thickTop="1" thickBot="1" x14ac:dyDescent="0.35">
      <c r="A9" s="23">
        <v>2021</v>
      </c>
      <c r="B9" s="24"/>
      <c r="C9" s="25">
        <v>868346</v>
      </c>
      <c r="D9" s="23">
        <v>15</v>
      </c>
      <c r="E9" s="26">
        <f t="shared" si="1"/>
        <v>1.7274220184120155</v>
      </c>
      <c r="F9" s="27">
        <f t="shared" si="2"/>
        <v>0.54663013434528418</v>
      </c>
      <c r="G9" s="28"/>
      <c r="H9" s="28"/>
      <c r="I9" s="29"/>
      <c r="J9" s="30"/>
      <c r="K9" s="30"/>
      <c r="L9" s="30"/>
      <c r="M9" s="25">
        <v>432894</v>
      </c>
      <c r="N9" s="23">
        <v>9</v>
      </c>
      <c r="O9" s="26">
        <f t="shared" si="3"/>
        <v>2.0790308943990907</v>
      </c>
      <c r="P9" s="27">
        <f t="shared" si="4"/>
        <v>0.73190186898628673</v>
      </c>
      <c r="Q9" s="31"/>
      <c r="R9" s="31"/>
      <c r="S9" s="32"/>
      <c r="T9" s="30"/>
      <c r="U9" s="30"/>
      <c r="V9" s="30"/>
      <c r="W9" s="25">
        <v>435452</v>
      </c>
      <c r="X9" s="23">
        <v>6</v>
      </c>
      <c r="Y9" s="26">
        <f t="shared" si="5"/>
        <v>1.3778786180796045</v>
      </c>
      <c r="Z9" s="27">
        <f t="shared" si="6"/>
        <v>0.32054508313812324</v>
      </c>
      <c r="AA9" s="31"/>
      <c r="AB9" s="31"/>
      <c r="AC9" s="32"/>
      <c r="AD9" s="30"/>
      <c r="AE9" s="30"/>
      <c r="AF9" s="30"/>
      <c r="AG9" s="33">
        <v>22220</v>
      </c>
      <c r="AH9" s="34">
        <v>0.01</v>
      </c>
      <c r="AI9" s="35">
        <f>(AH9/AG9)*100000</f>
        <v>4.5004500450045004E-2</v>
      </c>
      <c r="AJ9" s="36">
        <f>LN(AI9)</f>
        <v>-3.1009927842114839</v>
      </c>
      <c r="AK9" s="37"/>
      <c r="AL9" s="37"/>
      <c r="AM9" s="38"/>
      <c r="AN9" s="49"/>
      <c r="AO9" s="49"/>
      <c r="AP9" s="40"/>
      <c r="AQ9" s="33">
        <v>11357</v>
      </c>
      <c r="AR9" s="34">
        <v>1</v>
      </c>
      <c r="AS9" s="41">
        <f t="shared" si="16"/>
        <v>8.8051422030465787</v>
      </c>
      <c r="AT9" s="36">
        <f t="shared" si="17"/>
        <v>2.1753358920785821</v>
      </c>
      <c r="AU9" s="47"/>
      <c r="AV9" s="47"/>
      <c r="AW9" s="48"/>
      <c r="AX9" s="49"/>
      <c r="AY9" s="49"/>
      <c r="AZ9" s="40"/>
      <c r="BA9" s="33">
        <v>5055</v>
      </c>
      <c r="BB9" s="34">
        <v>8</v>
      </c>
      <c r="BC9" s="41">
        <f t="shared" si="9"/>
        <v>158.2591493570722</v>
      </c>
      <c r="BD9" s="36">
        <f t="shared" si="10"/>
        <v>5.0642338751954927</v>
      </c>
      <c r="BE9" s="47"/>
      <c r="BF9" s="47"/>
      <c r="BG9" s="48"/>
      <c r="BH9" s="49"/>
      <c r="BI9" s="49"/>
      <c r="BJ9" s="40"/>
      <c r="BK9" s="33">
        <v>21439</v>
      </c>
      <c r="BL9" s="34">
        <v>0.01</v>
      </c>
      <c r="BM9" s="44">
        <f t="shared" si="11"/>
        <v>4.664396660291991E-2</v>
      </c>
      <c r="BN9" s="36">
        <f t="shared" si="0"/>
        <v>-3.0652116933237945</v>
      </c>
      <c r="BO9" s="47"/>
      <c r="BP9" s="47"/>
      <c r="BQ9" s="48"/>
      <c r="BR9" s="49"/>
      <c r="BS9" s="49"/>
      <c r="BT9" s="40"/>
      <c r="BU9" s="33">
        <v>10687</v>
      </c>
      <c r="BV9" s="34">
        <v>3</v>
      </c>
      <c r="BW9" s="45">
        <f t="shared" si="12"/>
        <v>28.071488724618696</v>
      </c>
      <c r="BX9" s="36">
        <f t="shared" si="13"/>
        <v>3.3347544251134416</v>
      </c>
      <c r="BY9" s="47"/>
      <c r="BZ9" s="47"/>
      <c r="CA9" s="48"/>
      <c r="CB9" s="49"/>
      <c r="CC9" s="49"/>
      <c r="CD9" s="40"/>
      <c r="CE9" s="33">
        <v>4309</v>
      </c>
      <c r="CF9" s="34">
        <v>3</v>
      </c>
      <c r="CG9" s="45">
        <f t="shared" si="14"/>
        <v>69.621721977256897</v>
      </c>
      <c r="CH9" s="36">
        <f t="shared" si="15"/>
        <v>4.2430766160225</v>
      </c>
      <c r="CI9" s="47"/>
      <c r="CJ9" s="47"/>
      <c r="CK9" s="48"/>
      <c r="CL9" s="49"/>
      <c r="CM9" s="49"/>
      <c r="CN9" s="40"/>
    </row>
    <row r="10" spans="1:92" ht="15.6" thickTop="1" thickBot="1" x14ac:dyDescent="0.35">
      <c r="A10" s="50">
        <v>2016</v>
      </c>
      <c r="B10" s="51" t="s">
        <v>26</v>
      </c>
      <c r="C10" s="52">
        <v>756948</v>
      </c>
      <c r="D10" s="50">
        <v>14</v>
      </c>
      <c r="E10" s="26">
        <f t="shared" si="1"/>
        <v>1.8495325966909217</v>
      </c>
      <c r="F10" s="53">
        <f t="shared" si="2"/>
        <v>0.61493295673139536</v>
      </c>
      <c r="G10" s="54">
        <v>0.12139999999999999</v>
      </c>
      <c r="H10" s="54">
        <v>0.78480000000000005</v>
      </c>
      <c r="I10" s="55">
        <v>1.18E-2</v>
      </c>
      <c r="J10" s="30">
        <f>(EXP(0.045)-1)*100</f>
        <v>4.6027859908716939</v>
      </c>
      <c r="K10" s="30">
        <f>(EXP(0.198)-1)*100</f>
        <v>21.896239382164275</v>
      </c>
      <c r="L10" s="56">
        <f>(EXP(G10)-1)*100</f>
        <v>12.907645263432377</v>
      </c>
      <c r="M10" s="52">
        <v>377575</v>
      </c>
      <c r="N10" s="50">
        <v>9</v>
      </c>
      <c r="O10" s="57">
        <f t="shared" si="3"/>
        <v>2.3836323909157122</v>
      </c>
      <c r="P10" s="27">
        <f t="shared" si="4"/>
        <v>0.86862553887190552</v>
      </c>
      <c r="Q10" s="58">
        <v>9.4E-2</v>
      </c>
      <c r="R10" s="58">
        <v>0.16220000000000001</v>
      </c>
      <c r="S10" s="59">
        <v>0.23319999999999999</v>
      </c>
      <c r="T10" s="30">
        <f>(EXP(-0.092)-1)*100</f>
        <v>-8.789485045490963</v>
      </c>
      <c r="U10" s="30">
        <f>(EXP(0.28)-1)*100</f>
        <v>32.312981233743685</v>
      </c>
      <c r="V10" s="56">
        <f>(EXP(Q10)-1)*100</f>
        <v>9.8559745917173647</v>
      </c>
      <c r="W10" s="52">
        <v>379373</v>
      </c>
      <c r="X10" s="50">
        <v>5</v>
      </c>
      <c r="Y10" s="57">
        <f t="shared" si="5"/>
        <v>1.3179641144730911</v>
      </c>
      <c r="Z10" s="53">
        <f t="shared" si="6"/>
        <v>0.27608820845099075</v>
      </c>
      <c r="AA10" s="58">
        <v>0.1623</v>
      </c>
      <c r="AB10" s="58">
        <v>0.49409999999999998</v>
      </c>
      <c r="AC10" s="59">
        <v>7.2300000000000003E-2</v>
      </c>
      <c r="AD10" s="30">
        <f>(EXP(-0.023)-1)*100</f>
        <v>-2.2737516226722931</v>
      </c>
      <c r="AE10" s="30">
        <f>(EXP(0.348)-1)*100</f>
        <v>41.623224974002348</v>
      </c>
      <c r="AF10" s="56">
        <f>(EXP(AA10)-1)*100</f>
        <v>17.621305231239859</v>
      </c>
      <c r="AG10" s="60">
        <v>13904</v>
      </c>
      <c r="AH10" s="61">
        <v>3</v>
      </c>
      <c r="AI10" s="62">
        <f t="shared" si="7"/>
        <v>21.576524741081702</v>
      </c>
      <c r="AJ10" s="63">
        <f>LN(AI10)</f>
        <v>3.0716059061331649</v>
      </c>
      <c r="AK10" s="64">
        <v>-0.60829999999999995</v>
      </c>
      <c r="AL10" s="64">
        <v>-4.3299999999999998E-2</v>
      </c>
      <c r="AM10" s="65">
        <v>0.42359999999999998</v>
      </c>
      <c r="AN10" s="39">
        <f>(EXP(-2.505) - 1) * 100</f>
        <v>-91.832440201470661</v>
      </c>
      <c r="AO10" s="39">
        <f>(EXP(1.289) - 1) * 100</f>
        <v>262.91555849850209</v>
      </c>
      <c r="AP10" s="66">
        <f>(EXP(AK10)-1)*100</f>
        <v>-45.572464886096476</v>
      </c>
      <c r="AQ10" s="60">
        <v>7035</v>
      </c>
      <c r="AR10" s="61">
        <v>1</v>
      </c>
      <c r="AS10" s="62">
        <f t="shared" si="16"/>
        <v>14.214641080312722</v>
      </c>
      <c r="AT10" s="63">
        <f>LN(AS10)</f>
        <v>2.6542724954217389</v>
      </c>
      <c r="AU10" s="67">
        <v>7.1400000000000005E-2</v>
      </c>
      <c r="AV10" s="67">
        <v>-0.1105</v>
      </c>
      <c r="AW10" s="68">
        <v>0.51759999999999995</v>
      </c>
      <c r="AX10" s="39">
        <f>(EXP(-0.208) - 1) * 100</f>
        <v>-18.779296328806094</v>
      </c>
      <c r="AY10" s="39">
        <f>(EXP(0.351) - 1) * 100</f>
        <v>42.048732591219505</v>
      </c>
      <c r="AZ10" s="66">
        <f>(EXP(AU10)-1)*100</f>
        <v>7.4010744256655547</v>
      </c>
      <c r="BA10" s="60">
        <v>3435</v>
      </c>
      <c r="BB10" s="61">
        <v>5</v>
      </c>
      <c r="BC10" s="62">
        <f t="shared" si="9"/>
        <v>145.5604075691412</v>
      </c>
      <c r="BD10" s="63">
        <f t="shared" si="10"/>
        <v>4.9805911727478795</v>
      </c>
      <c r="BE10" s="67">
        <v>0.15659999999999999</v>
      </c>
      <c r="BF10" s="67">
        <v>0.31609999999999999</v>
      </c>
      <c r="BG10" s="68">
        <v>0.1429</v>
      </c>
      <c r="BH10" s="39">
        <f>(EXP(-0.082) - 1) * 100</f>
        <v>-7.8728041303651297</v>
      </c>
      <c r="BI10" s="39">
        <f>(EXP(0.395) - 1) * 100</f>
        <v>48.438419092091408</v>
      </c>
      <c r="BJ10" s="66">
        <f>(EXP(BE10)-1)*100</f>
        <v>16.952770924252359</v>
      </c>
      <c r="BK10" s="60">
        <v>14091</v>
      </c>
      <c r="BL10" s="61">
        <v>0.01</v>
      </c>
      <c r="BM10" s="69">
        <f t="shared" si="11"/>
        <v>7.0967284082038173E-2</v>
      </c>
      <c r="BN10" s="63">
        <f>LN(BM10)</f>
        <v>-2.6455362957129678</v>
      </c>
      <c r="BO10" s="67">
        <v>1.1657</v>
      </c>
      <c r="BP10" s="67">
        <v>0.58140000000000003</v>
      </c>
      <c r="BQ10" s="68">
        <v>4.7800000000000002E-2</v>
      </c>
      <c r="BR10" s="39">
        <f>(EXP(0.018) - 1) * 100</f>
        <v>1.8162976389793695</v>
      </c>
      <c r="BS10" s="39">
        <f>(EXP(2.314) - 1) * 100</f>
        <v>911.48030565989563</v>
      </c>
      <c r="BT10" s="66">
        <f>(EXP(BO10)-1)*100</f>
        <v>220.81678148554667</v>
      </c>
      <c r="BU10" s="60">
        <v>6545</v>
      </c>
      <c r="BV10" s="61">
        <v>1</v>
      </c>
      <c r="BW10" s="69">
        <f t="shared" si="12"/>
        <v>15.278838808250573</v>
      </c>
      <c r="BX10" s="63">
        <f t="shared" si="13"/>
        <v>2.7264687866262283</v>
      </c>
      <c r="BY10" s="67">
        <v>-0.4249</v>
      </c>
      <c r="BZ10" s="67">
        <v>-8.6199999999999999E-2</v>
      </c>
      <c r="CA10" s="68">
        <v>0.48060000000000003</v>
      </c>
      <c r="CB10" s="39">
        <f>(EXP(-1.943) - 1) * 100</f>
        <v>-85.672651605003921</v>
      </c>
      <c r="CC10" s="39">
        <f>(EXP(1.093) - 1) * 100</f>
        <v>198.32102924083586</v>
      </c>
      <c r="CD10" s="66">
        <f>(EXP(BY10)-1)*100</f>
        <v>-34.616483462268185</v>
      </c>
      <c r="CE10" s="60">
        <v>2467</v>
      </c>
      <c r="CF10" s="61">
        <v>4</v>
      </c>
      <c r="CG10" s="69">
        <f t="shared" si="14"/>
        <v>162.14025131738953</v>
      </c>
      <c r="CH10" s="63">
        <f t="shared" si="15"/>
        <v>5.0884617095607618</v>
      </c>
      <c r="CI10" s="67">
        <v>0.13059999999999999</v>
      </c>
      <c r="CJ10" s="67">
        <v>0.3392</v>
      </c>
      <c r="CK10" s="68">
        <v>0.13189999999999999</v>
      </c>
      <c r="CL10" s="39">
        <f>(EXP(-0.061) - 1) * 100</f>
        <v>-5.9176760223990321</v>
      </c>
      <c r="CM10" s="39">
        <f>(EXP(0.322) - 1) * 100</f>
        <v>37.98847759572466</v>
      </c>
      <c r="CN10" s="66">
        <f t="shared" ref="CN10" si="18">(EXP(CI10)-1)*100</f>
        <v>13.951188538472948</v>
      </c>
    </row>
    <row r="11" spans="1:92" ht="15.6" thickTop="1" thickBot="1" x14ac:dyDescent="0.35">
      <c r="A11" s="50">
        <v>2017</v>
      </c>
      <c r="B11" s="51"/>
      <c r="C11" s="52">
        <v>765558</v>
      </c>
      <c r="D11" s="50">
        <v>13</v>
      </c>
      <c r="E11" s="26">
        <f t="shared" si="1"/>
        <v>1.698107785432325</v>
      </c>
      <c r="F11" s="53">
        <f t="shared" si="2"/>
        <v>0.52951456374985917</v>
      </c>
      <c r="G11" s="54"/>
      <c r="H11" s="54"/>
      <c r="I11" s="55"/>
      <c r="J11" s="30"/>
      <c r="K11" s="30"/>
      <c r="L11" s="56"/>
      <c r="M11" s="52">
        <v>381877</v>
      </c>
      <c r="N11" s="50">
        <v>9</v>
      </c>
      <c r="O11" s="57">
        <f t="shared" si="3"/>
        <v>2.3567798008259206</v>
      </c>
      <c r="P11" s="27">
        <f t="shared" si="4"/>
        <v>0.85729619609629015</v>
      </c>
      <c r="Q11" s="58"/>
      <c r="R11" s="58"/>
      <c r="S11" s="59"/>
      <c r="T11" s="30"/>
      <c r="U11" s="30"/>
      <c r="V11" s="56"/>
      <c r="W11" s="52">
        <v>383681</v>
      </c>
      <c r="X11" s="50">
        <v>4</v>
      </c>
      <c r="Y11" s="57">
        <f t="shared" si="5"/>
        <v>1.0425327290118613</v>
      </c>
      <c r="Z11" s="53">
        <f t="shared" si="6"/>
        <v>4.1653068933613466E-2</v>
      </c>
      <c r="AA11" s="58"/>
      <c r="AB11" s="58"/>
      <c r="AC11" s="59"/>
      <c r="AD11" s="30"/>
      <c r="AE11" s="30"/>
      <c r="AF11" s="56"/>
      <c r="AG11" s="60">
        <v>14804</v>
      </c>
      <c r="AH11" s="61">
        <v>1</v>
      </c>
      <c r="AI11" s="62">
        <f t="shared" si="7"/>
        <v>6.7549310997027829</v>
      </c>
      <c r="AJ11" s="63">
        <f t="shared" si="8"/>
        <v>1.9102727714641818</v>
      </c>
      <c r="AK11" s="64"/>
      <c r="AL11" s="64"/>
      <c r="AM11" s="65"/>
      <c r="AN11" s="46"/>
      <c r="AO11" s="46"/>
      <c r="AP11" s="66"/>
      <c r="AQ11" s="60">
        <v>7327</v>
      </c>
      <c r="AR11" s="61">
        <v>3</v>
      </c>
      <c r="AS11" s="62">
        <f t="shared" si="16"/>
        <v>40.944452026750376</v>
      </c>
      <c r="AT11" s="63">
        <f t="shared" si="17"/>
        <v>3.7122163194783742</v>
      </c>
      <c r="AU11" s="70"/>
      <c r="AV11" s="70"/>
      <c r="AW11" s="71"/>
      <c r="AX11" s="46"/>
      <c r="AY11" s="46"/>
      <c r="AZ11" s="66"/>
      <c r="BA11" s="60">
        <v>3569</v>
      </c>
      <c r="BB11" s="61">
        <v>5</v>
      </c>
      <c r="BC11" s="62">
        <f t="shared" si="9"/>
        <v>140.09526478005046</v>
      </c>
      <c r="BD11" s="63">
        <f t="shared" si="10"/>
        <v>4.9423226539141689</v>
      </c>
      <c r="BE11" s="70"/>
      <c r="BF11" s="70"/>
      <c r="BG11" s="71"/>
      <c r="BH11" s="46"/>
      <c r="BI11" s="46"/>
      <c r="BJ11" s="66"/>
      <c r="BK11" s="60">
        <v>14928</v>
      </c>
      <c r="BL11" s="61">
        <v>0.01</v>
      </c>
      <c r="BM11" s="69">
        <f t="shared" si="11"/>
        <v>6.6988210075026797E-2</v>
      </c>
      <c r="BN11" s="63">
        <f t="shared" si="0"/>
        <v>-2.7032386441049878</v>
      </c>
      <c r="BO11" s="70"/>
      <c r="BP11" s="70"/>
      <c r="BQ11" s="71"/>
      <c r="BR11" s="46"/>
      <c r="BS11" s="46"/>
      <c r="BT11" s="66"/>
      <c r="BU11" s="60">
        <v>6809</v>
      </c>
      <c r="BV11" s="61">
        <v>1</v>
      </c>
      <c r="BW11" s="69">
        <f t="shared" si="12"/>
        <v>14.6864444118079</v>
      </c>
      <c r="BX11" s="63">
        <f t="shared" si="13"/>
        <v>2.6869249194872618</v>
      </c>
      <c r="BY11" s="70"/>
      <c r="BZ11" s="70"/>
      <c r="CA11" s="71"/>
      <c r="CB11" s="46"/>
      <c r="CC11" s="46"/>
      <c r="CD11" s="66"/>
      <c r="CE11" s="60">
        <v>2581</v>
      </c>
      <c r="CF11" s="61">
        <v>3</v>
      </c>
      <c r="CG11" s="69">
        <f t="shared" si="14"/>
        <v>116.2340178225494</v>
      </c>
      <c r="CH11" s="63">
        <f t="shared" si="15"/>
        <v>4.7556055539197244</v>
      </c>
      <c r="CI11" s="70"/>
      <c r="CJ11" s="70"/>
      <c r="CK11" s="71"/>
      <c r="CL11" s="46"/>
      <c r="CM11" s="46"/>
      <c r="CN11" s="66"/>
    </row>
    <row r="12" spans="1:92" ht="15.6" thickTop="1" thickBot="1" x14ac:dyDescent="0.35">
      <c r="A12" s="50">
        <v>2018</v>
      </c>
      <c r="B12" s="51"/>
      <c r="C12" s="52">
        <v>772784</v>
      </c>
      <c r="D12" s="50">
        <v>14</v>
      </c>
      <c r="E12" s="26">
        <f t="shared" si="1"/>
        <v>1.8116317108014659</v>
      </c>
      <c r="F12" s="53">
        <f t="shared" si="2"/>
        <v>0.59422793685311859</v>
      </c>
      <c r="G12" s="54"/>
      <c r="H12" s="54"/>
      <c r="I12" s="55"/>
      <c r="J12" s="30"/>
      <c r="K12" s="30"/>
      <c r="L12" s="56"/>
      <c r="M12" s="52">
        <v>385476</v>
      </c>
      <c r="N12" s="50">
        <v>6</v>
      </c>
      <c r="O12" s="57">
        <f t="shared" si="3"/>
        <v>1.5565171372536812</v>
      </c>
      <c r="P12" s="27">
        <f t="shared" si="4"/>
        <v>0.44245072096013632</v>
      </c>
      <c r="Q12" s="58"/>
      <c r="R12" s="58"/>
      <c r="S12" s="59"/>
      <c r="T12" s="30"/>
      <c r="U12" s="30"/>
      <c r="V12" s="56"/>
      <c r="W12" s="52">
        <v>387308</v>
      </c>
      <c r="X12" s="50">
        <v>8</v>
      </c>
      <c r="Y12" s="57">
        <f t="shared" si="5"/>
        <v>2.0655395705743231</v>
      </c>
      <c r="Z12" s="53">
        <f t="shared" si="6"/>
        <v>0.72539148553818933</v>
      </c>
      <c r="AA12" s="58"/>
      <c r="AB12" s="58"/>
      <c r="AC12" s="59"/>
      <c r="AD12" s="30"/>
      <c r="AE12" s="30"/>
      <c r="AF12" s="56"/>
      <c r="AG12" s="60">
        <v>15737</v>
      </c>
      <c r="AH12" s="61">
        <v>0.01</v>
      </c>
      <c r="AI12" s="62">
        <f t="shared" si="7"/>
        <v>6.3544512931308375E-2</v>
      </c>
      <c r="AJ12" s="63">
        <f t="shared" si="8"/>
        <v>-2.7560146276187276</v>
      </c>
      <c r="AK12" s="64"/>
      <c r="AL12" s="64"/>
      <c r="AM12" s="65"/>
      <c r="AN12" s="46"/>
      <c r="AO12" s="46"/>
      <c r="AP12" s="66"/>
      <c r="AQ12" s="60">
        <v>7621</v>
      </c>
      <c r="AR12" s="61">
        <v>3</v>
      </c>
      <c r="AS12" s="62">
        <f t="shared" si="16"/>
        <v>39.364912741110089</v>
      </c>
      <c r="AT12" s="63">
        <f t="shared" si="17"/>
        <v>3.6728748799722206</v>
      </c>
      <c r="AU12" s="70"/>
      <c r="AV12" s="70"/>
      <c r="AW12" s="71"/>
      <c r="AX12" s="46"/>
      <c r="AY12" s="46"/>
      <c r="AZ12" s="66"/>
      <c r="BA12" s="60">
        <v>3709</v>
      </c>
      <c r="BB12" s="61">
        <v>3</v>
      </c>
      <c r="BC12" s="62">
        <f t="shared" si="9"/>
        <v>80.884335400377466</v>
      </c>
      <c r="BD12" s="63">
        <f t="shared" si="10"/>
        <v>4.3930201761487471</v>
      </c>
      <c r="BE12" s="70"/>
      <c r="BF12" s="70"/>
      <c r="BG12" s="71"/>
      <c r="BH12" s="46"/>
      <c r="BI12" s="46"/>
      <c r="BJ12" s="66"/>
      <c r="BK12" s="60">
        <v>15776</v>
      </c>
      <c r="BL12" s="61">
        <v>0.01</v>
      </c>
      <c r="BM12" s="69">
        <f>(BL12/BK12)*100000</f>
        <v>6.338742393509128E-2</v>
      </c>
      <c r="BN12" s="63">
        <f t="shared" si="0"/>
        <v>-2.7584897978602796</v>
      </c>
      <c r="BO12" s="70"/>
      <c r="BP12" s="70"/>
      <c r="BQ12" s="71"/>
      <c r="BR12" s="46"/>
      <c r="BS12" s="46"/>
      <c r="BT12" s="66"/>
      <c r="BU12" s="60">
        <v>7084</v>
      </c>
      <c r="BV12" s="61">
        <v>3</v>
      </c>
      <c r="BW12" s="69">
        <f t="shared" si="12"/>
        <v>42.348955392433659</v>
      </c>
      <c r="BX12" s="63">
        <f t="shared" si="13"/>
        <v>3.745943754735614</v>
      </c>
      <c r="BY12" s="70"/>
      <c r="BZ12" s="70"/>
      <c r="CA12" s="71"/>
      <c r="CB12" s="46"/>
      <c r="CC12" s="46"/>
      <c r="CD12" s="66"/>
      <c r="CE12" s="60">
        <v>2708</v>
      </c>
      <c r="CF12" s="61">
        <v>5</v>
      </c>
      <c r="CG12" s="69">
        <f t="shared" si="14"/>
        <v>184.63810930576071</v>
      </c>
      <c r="CH12" s="63">
        <f t="shared" si="15"/>
        <v>5.2183977433721633</v>
      </c>
      <c r="CI12" s="70"/>
      <c r="CJ12" s="70"/>
      <c r="CK12" s="71"/>
      <c r="CL12" s="46"/>
      <c r="CM12" s="46"/>
      <c r="CN12" s="66"/>
    </row>
    <row r="13" spans="1:92" ht="15.6" thickTop="1" thickBot="1" x14ac:dyDescent="0.35">
      <c r="A13" s="50">
        <v>2019</v>
      </c>
      <c r="B13" s="51"/>
      <c r="C13" s="52">
        <v>779468</v>
      </c>
      <c r="D13" s="50">
        <v>20</v>
      </c>
      <c r="E13" s="26">
        <f t="shared" si="1"/>
        <v>2.5658526071628343</v>
      </c>
      <c r="F13" s="53">
        <f t="shared" si="2"/>
        <v>0.94229082384328811</v>
      </c>
      <c r="G13" s="54"/>
      <c r="H13" s="54"/>
      <c r="I13" s="55"/>
      <c r="J13" s="30"/>
      <c r="K13" s="30"/>
      <c r="L13" s="56"/>
      <c r="M13" s="52">
        <v>388806</v>
      </c>
      <c r="N13" s="50">
        <v>9</v>
      </c>
      <c r="O13" s="57">
        <f t="shared" si="3"/>
        <v>2.314779092915233</v>
      </c>
      <c r="P13" s="27">
        <f t="shared" si="4"/>
        <v>0.83931425875833499</v>
      </c>
      <c r="Q13" s="58"/>
      <c r="R13" s="58"/>
      <c r="S13" s="59"/>
      <c r="T13" s="30"/>
      <c r="U13" s="30"/>
      <c r="V13" s="56"/>
      <c r="W13" s="52">
        <v>390662</v>
      </c>
      <c r="X13" s="50">
        <v>11</v>
      </c>
      <c r="Y13" s="57">
        <f t="shared" si="5"/>
        <v>2.8157332937424164</v>
      </c>
      <c r="Z13" s="53">
        <f t="shared" si="6"/>
        <v>1.0352227227814519</v>
      </c>
      <c r="AA13" s="58"/>
      <c r="AB13" s="58"/>
      <c r="AC13" s="59"/>
      <c r="AD13" s="30"/>
      <c r="AE13" s="30"/>
      <c r="AF13" s="56"/>
      <c r="AG13" s="60">
        <v>16673</v>
      </c>
      <c r="AH13" s="61">
        <v>0.01</v>
      </c>
      <c r="AI13" s="62">
        <f t="shared" si="7"/>
        <v>5.9977208660708929E-2</v>
      </c>
      <c r="AJ13" s="63">
        <f t="shared" si="8"/>
        <v>-2.8137906445783218</v>
      </c>
      <c r="AK13" s="64"/>
      <c r="AL13" s="64"/>
      <c r="AM13" s="65"/>
      <c r="AN13" s="46"/>
      <c r="AO13" s="46"/>
      <c r="AP13" s="66"/>
      <c r="AQ13" s="60">
        <v>7929</v>
      </c>
      <c r="AR13" s="61">
        <v>2</v>
      </c>
      <c r="AS13" s="62">
        <f t="shared" si="16"/>
        <v>25.223861773237481</v>
      </c>
      <c r="AT13" s="63">
        <f t="shared" si="17"/>
        <v>3.2277904422577746</v>
      </c>
      <c r="AU13" s="70"/>
      <c r="AV13" s="70"/>
      <c r="AW13" s="71"/>
      <c r="AX13" s="46"/>
      <c r="AY13" s="46"/>
      <c r="AZ13" s="66"/>
      <c r="BA13" s="60">
        <v>3840</v>
      </c>
      <c r="BB13" s="61">
        <v>7</v>
      </c>
      <c r="BC13" s="62">
        <f t="shared" si="9"/>
        <v>182.29166666666666</v>
      </c>
      <c r="BD13" s="63">
        <f t="shared" si="10"/>
        <v>5.2056079684437693</v>
      </c>
      <c r="BE13" s="70"/>
      <c r="BF13" s="70"/>
      <c r="BG13" s="71"/>
      <c r="BH13" s="46"/>
      <c r="BI13" s="46"/>
      <c r="BJ13" s="66"/>
      <c r="BK13" s="60">
        <v>16608</v>
      </c>
      <c r="BL13" s="61">
        <v>3</v>
      </c>
      <c r="BM13" s="69">
        <f t="shared" ref="BM13:BM44" si="19">(BL13/BK13)*100000</f>
        <v>18.063583815028903</v>
      </c>
      <c r="BN13" s="63">
        <f t="shared" si="0"/>
        <v>2.8938979676727228</v>
      </c>
      <c r="BO13" s="70"/>
      <c r="BP13" s="70"/>
      <c r="BQ13" s="71"/>
      <c r="BR13" s="46"/>
      <c r="BS13" s="46"/>
      <c r="BT13" s="66"/>
      <c r="BU13" s="60">
        <v>7384</v>
      </c>
      <c r="BV13" s="61">
        <v>4</v>
      </c>
      <c r="BW13" s="69">
        <f t="shared" si="12"/>
        <v>54.17118093174431</v>
      </c>
      <c r="BX13" s="63">
        <f t="shared" si="13"/>
        <v>3.992149049907431</v>
      </c>
      <c r="BY13" s="70"/>
      <c r="BZ13" s="70"/>
      <c r="CA13" s="71"/>
      <c r="CB13" s="46"/>
      <c r="CC13" s="46"/>
      <c r="CD13" s="66"/>
      <c r="CE13" s="60">
        <v>2832</v>
      </c>
      <c r="CF13" s="61">
        <v>4</v>
      </c>
      <c r="CG13" s="69">
        <f t="shared" si="14"/>
        <v>141.24293785310735</v>
      </c>
      <c r="CH13" s="63">
        <f t="shared" si="15"/>
        <v>4.950481371276509</v>
      </c>
      <c r="CI13" s="70"/>
      <c r="CJ13" s="70"/>
      <c r="CK13" s="71"/>
      <c r="CL13" s="46"/>
      <c r="CM13" s="46"/>
      <c r="CN13" s="66"/>
    </row>
    <row r="14" spans="1:92" ht="15.6" thickTop="1" thickBot="1" x14ac:dyDescent="0.35">
      <c r="A14" s="50">
        <v>2020</v>
      </c>
      <c r="B14" s="51"/>
      <c r="C14" s="52">
        <v>785533</v>
      </c>
      <c r="D14" s="50">
        <v>20</v>
      </c>
      <c r="E14" s="26">
        <f t="shared" si="1"/>
        <v>2.5460419867784041</v>
      </c>
      <c r="F14" s="53">
        <f t="shared" si="2"/>
        <v>0.93453999127119292</v>
      </c>
      <c r="G14" s="54"/>
      <c r="H14" s="54"/>
      <c r="I14" s="55"/>
      <c r="J14" s="30"/>
      <c r="K14" s="30"/>
      <c r="L14" s="56"/>
      <c r="M14" s="52">
        <v>391956</v>
      </c>
      <c r="N14" s="50">
        <v>10</v>
      </c>
      <c r="O14" s="57">
        <f t="shared" si="3"/>
        <v>2.551306779332374</v>
      </c>
      <c r="P14" s="27">
        <f t="shared" si="4"/>
        <v>0.93660569038956365</v>
      </c>
      <c r="Q14" s="58"/>
      <c r="R14" s="58"/>
      <c r="S14" s="59"/>
      <c r="T14" s="30"/>
      <c r="U14" s="30"/>
      <c r="V14" s="56"/>
      <c r="W14" s="52">
        <v>393577</v>
      </c>
      <c r="X14" s="50">
        <v>10</v>
      </c>
      <c r="Y14" s="57">
        <f t="shared" si="5"/>
        <v>2.5407988779832156</v>
      </c>
      <c r="Z14" s="53">
        <f t="shared" si="6"/>
        <v>0.9324785504707771</v>
      </c>
      <c r="AA14" s="58"/>
      <c r="AB14" s="58"/>
      <c r="AC14" s="59"/>
      <c r="AD14" s="30"/>
      <c r="AE14" s="30"/>
      <c r="AF14" s="56"/>
      <c r="AG14" s="60">
        <v>17558</v>
      </c>
      <c r="AH14" s="61">
        <v>0.01</v>
      </c>
      <c r="AI14" s="62">
        <f t="shared" si="7"/>
        <v>5.6954094999430459E-2</v>
      </c>
      <c r="AJ14" s="63">
        <f t="shared" si="8"/>
        <v>-2.8655096865040171</v>
      </c>
      <c r="AK14" s="64"/>
      <c r="AL14" s="64"/>
      <c r="AM14" s="65"/>
      <c r="AN14" s="46"/>
      <c r="AO14" s="46"/>
      <c r="AP14" s="66"/>
      <c r="AQ14" s="60">
        <v>8266</v>
      </c>
      <c r="AR14" s="61">
        <v>2</v>
      </c>
      <c r="AS14" s="62">
        <f t="shared" si="16"/>
        <v>24.195499637067506</v>
      </c>
      <c r="AT14" s="63">
        <f t="shared" si="17"/>
        <v>3.186166650458496</v>
      </c>
      <c r="AU14" s="70"/>
      <c r="AV14" s="70"/>
      <c r="AW14" s="71"/>
      <c r="AX14" s="46"/>
      <c r="AY14" s="46"/>
      <c r="AZ14" s="66"/>
      <c r="BA14" s="60">
        <v>3949</v>
      </c>
      <c r="BB14" s="61">
        <v>8</v>
      </c>
      <c r="BC14" s="62">
        <f t="shared" si="9"/>
        <v>202.5829323879463</v>
      </c>
      <c r="BD14" s="63">
        <f t="shared" si="10"/>
        <v>5.3111493453634147</v>
      </c>
      <c r="BE14" s="70"/>
      <c r="BF14" s="70"/>
      <c r="BG14" s="71"/>
      <c r="BH14" s="46"/>
      <c r="BI14" s="46"/>
      <c r="BJ14" s="66"/>
      <c r="BK14" s="60">
        <v>17356</v>
      </c>
      <c r="BL14" s="61">
        <v>1</v>
      </c>
      <c r="BM14" s="69">
        <f>(BL14/BK14)*100000</f>
        <v>5.7616962433740486</v>
      </c>
      <c r="BN14" s="63">
        <f t="shared" si="0"/>
        <v>1.7512319180519871</v>
      </c>
      <c r="BO14" s="70"/>
      <c r="BP14" s="70"/>
      <c r="BQ14" s="71"/>
      <c r="BR14" s="46"/>
      <c r="BS14" s="46"/>
      <c r="BT14" s="66"/>
      <c r="BU14" s="60">
        <v>7636</v>
      </c>
      <c r="BV14" s="61">
        <v>0.01</v>
      </c>
      <c r="BW14" s="69">
        <f t="shared" si="12"/>
        <v>0.13095861707700368</v>
      </c>
      <c r="BX14" s="63">
        <f t="shared" si="13"/>
        <v>-2.032873905863501</v>
      </c>
      <c r="BY14" s="70"/>
      <c r="BZ14" s="70"/>
      <c r="CA14" s="71"/>
      <c r="CB14" s="46"/>
      <c r="CC14" s="46"/>
      <c r="CD14" s="66"/>
      <c r="CE14" s="60">
        <v>2901</v>
      </c>
      <c r="CF14" s="61">
        <v>9</v>
      </c>
      <c r="CG14" s="69">
        <f t="shared" si="14"/>
        <v>310.23784901758012</v>
      </c>
      <c r="CH14" s="63">
        <f t="shared" si="15"/>
        <v>5.7373392581850435</v>
      </c>
      <c r="CI14" s="70"/>
      <c r="CJ14" s="70"/>
      <c r="CK14" s="71"/>
      <c r="CL14" s="46"/>
      <c r="CM14" s="46"/>
      <c r="CN14" s="66"/>
    </row>
    <row r="15" spans="1:92" ht="15.6" thickTop="1" thickBot="1" x14ac:dyDescent="0.35">
      <c r="A15" s="50">
        <v>2021</v>
      </c>
      <c r="B15" s="51"/>
      <c r="C15" s="52">
        <v>790871</v>
      </c>
      <c r="D15" s="50">
        <v>25</v>
      </c>
      <c r="E15" s="26">
        <f t="shared" si="1"/>
        <v>3.1610717803535593</v>
      </c>
      <c r="F15" s="53">
        <f t="shared" si="2"/>
        <v>1.150911141091302</v>
      </c>
      <c r="G15" s="54"/>
      <c r="H15" s="54"/>
      <c r="I15" s="55"/>
      <c r="J15" s="30"/>
      <c r="K15" s="30"/>
      <c r="L15" s="56"/>
      <c r="M15" s="52">
        <v>394822</v>
      </c>
      <c r="N15" s="50">
        <v>16</v>
      </c>
      <c r="O15" s="57">
        <f t="shared" si="3"/>
        <v>4.0524590828271982</v>
      </c>
      <c r="P15" s="27">
        <f t="shared" si="4"/>
        <v>1.3993238778036672</v>
      </c>
      <c r="Q15" s="58"/>
      <c r="R15" s="58"/>
      <c r="S15" s="59"/>
      <c r="T15" s="30"/>
      <c r="U15" s="30"/>
      <c r="V15" s="56"/>
      <c r="W15" s="52">
        <v>396049</v>
      </c>
      <c r="X15" s="50">
        <v>9</v>
      </c>
      <c r="Y15" s="57">
        <f t="shared" si="5"/>
        <v>2.2724460862166045</v>
      </c>
      <c r="Z15" s="53">
        <f t="shared" si="6"/>
        <v>0.82085682235093016</v>
      </c>
      <c r="AA15" s="58"/>
      <c r="AB15" s="58"/>
      <c r="AC15" s="59"/>
      <c r="AD15" s="30"/>
      <c r="AE15" s="30"/>
      <c r="AF15" s="56"/>
      <c r="AG15" s="60">
        <v>18383</v>
      </c>
      <c r="AH15" s="61">
        <v>1</v>
      </c>
      <c r="AI15" s="62">
        <f t="shared" si="7"/>
        <v>5.4398085187401399</v>
      </c>
      <c r="AJ15" s="63">
        <f t="shared" si="8"/>
        <v>1.6937438614873566</v>
      </c>
      <c r="AK15" s="64"/>
      <c r="AL15" s="64"/>
      <c r="AM15" s="65"/>
      <c r="AN15" s="49"/>
      <c r="AO15" s="49"/>
      <c r="AP15" s="66"/>
      <c r="AQ15" s="60">
        <v>8621</v>
      </c>
      <c r="AR15" s="61">
        <v>3</v>
      </c>
      <c r="AS15" s="62">
        <f t="shared" si="16"/>
        <v>34.798747245099179</v>
      </c>
      <c r="AT15" s="63">
        <f t="shared" si="17"/>
        <v>3.5495813874284132</v>
      </c>
      <c r="AU15" s="70"/>
      <c r="AV15" s="70"/>
      <c r="AW15" s="71"/>
      <c r="AX15" s="49"/>
      <c r="AY15" s="49"/>
      <c r="AZ15" s="66"/>
      <c r="BA15" s="60">
        <v>4052</v>
      </c>
      <c r="BB15" s="61">
        <v>12</v>
      </c>
      <c r="BC15" s="62">
        <f t="shared" si="9"/>
        <v>296.15004935834156</v>
      </c>
      <c r="BD15" s="63">
        <f t="shared" si="10"/>
        <v>5.6908662493896545</v>
      </c>
      <c r="BE15" s="70"/>
      <c r="BF15" s="70"/>
      <c r="BG15" s="71"/>
      <c r="BH15" s="49"/>
      <c r="BI15" s="49"/>
      <c r="BJ15" s="66"/>
      <c r="BK15" s="60">
        <v>18057</v>
      </c>
      <c r="BL15" s="61">
        <v>1</v>
      </c>
      <c r="BM15" s="69">
        <f t="shared" si="19"/>
        <v>5.5380184969817794</v>
      </c>
      <c r="BN15" s="63">
        <f t="shared" si="0"/>
        <v>1.7116367647543478</v>
      </c>
      <c r="BO15" s="70"/>
      <c r="BP15" s="70"/>
      <c r="BQ15" s="71"/>
      <c r="BR15" s="49"/>
      <c r="BS15" s="49"/>
      <c r="BT15" s="66"/>
      <c r="BU15" s="60">
        <v>7875</v>
      </c>
      <c r="BV15" s="61">
        <v>1</v>
      </c>
      <c r="BW15" s="69">
        <f t="shared" si="12"/>
        <v>12.698412698412698</v>
      </c>
      <c r="BX15" s="63">
        <f t="shared" si="13"/>
        <v>2.5414770012763945</v>
      </c>
      <c r="BY15" s="70"/>
      <c r="BZ15" s="70"/>
      <c r="CA15" s="71"/>
      <c r="CB15" s="49"/>
      <c r="CC15" s="49"/>
      <c r="CD15" s="66"/>
      <c r="CE15" s="60">
        <v>2935</v>
      </c>
      <c r="CF15" s="61">
        <v>7</v>
      </c>
      <c r="CG15" s="69">
        <f t="shared" si="14"/>
        <v>238.50085178875642</v>
      </c>
      <c r="CH15" s="63">
        <f t="shared" si="15"/>
        <v>5.4743728817633448</v>
      </c>
      <c r="CI15" s="70"/>
      <c r="CJ15" s="70"/>
      <c r="CK15" s="71"/>
      <c r="CL15" s="49"/>
      <c r="CM15" s="49"/>
      <c r="CN15" s="66"/>
    </row>
    <row r="16" spans="1:92" ht="15.6" thickTop="1" thickBot="1" x14ac:dyDescent="0.35">
      <c r="A16" s="23">
        <v>2016</v>
      </c>
      <c r="B16" s="24" t="s">
        <v>27</v>
      </c>
      <c r="C16" s="25">
        <v>3914566</v>
      </c>
      <c r="D16" s="23">
        <v>88</v>
      </c>
      <c r="E16" s="26">
        <f t="shared" si="1"/>
        <v>2.2480142115371158</v>
      </c>
      <c r="F16" s="27">
        <f t="shared" si="2"/>
        <v>0.81004725386960941</v>
      </c>
      <c r="G16" s="28">
        <v>0.11890000000000001</v>
      </c>
      <c r="H16" s="28">
        <v>0.8831</v>
      </c>
      <c r="I16" s="29">
        <v>3.3999999999999998E-3</v>
      </c>
      <c r="J16" s="30">
        <f>(EXP(0.066)-1)*100</f>
        <v>6.8226717165993378</v>
      </c>
      <c r="K16" s="30">
        <f>(EXP(0.172)-1)*100</f>
        <v>18.767783321390596</v>
      </c>
      <c r="L16" s="30">
        <f>(EXP(G16)-1)*100</f>
        <v>12.625728692818594</v>
      </c>
      <c r="M16" s="25">
        <v>1946666</v>
      </c>
      <c r="N16" s="23">
        <v>64</v>
      </c>
      <c r="O16" s="26">
        <f t="shared" si="3"/>
        <v>3.2876723587919034</v>
      </c>
      <c r="P16" s="27">
        <f t="shared" si="4"/>
        <v>1.1901798246594122</v>
      </c>
      <c r="Q16" s="31">
        <v>9.3700000000000006E-2</v>
      </c>
      <c r="R16" s="31">
        <v>0.83089999999999997</v>
      </c>
      <c r="S16" s="32">
        <v>7.1999999999999998E-3</v>
      </c>
      <c r="T16" s="30">
        <f>(EXP(0.042)-1)*100</f>
        <v>4.2894478750763243</v>
      </c>
      <c r="U16" s="30">
        <f>(EXP(0.145)-1)*100</f>
        <v>15.603957026802151</v>
      </c>
      <c r="V16" s="30">
        <f t="shared" ref="V16" si="20">(EXP(Q16)-1)*100</f>
        <v>9.8230227423643957</v>
      </c>
      <c r="W16" s="25">
        <v>1967900</v>
      </c>
      <c r="X16" s="23">
        <v>24</v>
      </c>
      <c r="Y16" s="26">
        <f t="shared" si="5"/>
        <v>1.2195741653539305</v>
      </c>
      <c r="Z16" s="27">
        <f t="shared" si="6"/>
        <v>0.19850175302299289</v>
      </c>
      <c r="AA16" s="31">
        <v>0.17230000000000001</v>
      </c>
      <c r="AB16" s="31">
        <v>0.73</v>
      </c>
      <c r="AC16" s="32">
        <v>1.89E-2</v>
      </c>
      <c r="AD16" s="30">
        <f>(EXP(0.047)-1)*100</f>
        <v>4.8122009079655692</v>
      </c>
      <c r="AE16" s="30">
        <f>(EXP(0.298)-1)*100</f>
        <v>34.716178787955407</v>
      </c>
      <c r="AF16" s="30">
        <f>(EXP(AA16)-1)*100</f>
        <v>18.803419001471756</v>
      </c>
      <c r="AG16" s="33">
        <v>83168</v>
      </c>
      <c r="AH16" s="34">
        <v>4</v>
      </c>
      <c r="AI16" s="41">
        <f t="shared" si="7"/>
        <v>4.8095421315890734</v>
      </c>
      <c r="AJ16" s="36">
        <f t="shared" si="8"/>
        <v>1.5706018886489024</v>
      </c>
      <c r="AK16" s="37">
        <v>-6.2300000000000001E-2</v>
      </c>
      <c r="AL16" s="37">
        <v>-3.6799999999999999E-2</v>
      </c>
      <c r="AM16" s="38">
        <v>0.41570000000000001</v>
      </c>
      <c r="AN16" s="39">
        <f>(EXP(-0.253) - 1) * 100</f>
        <v>-22.353211817626217</v>
      </c>
      <c r="AO16" s="39">
        <f>(EXP(0.128) - 1) * 100</f>
        <v>13.655300269706029</v>
      </c>
      <c r="AP16" s="40">
        <f>(EXP(AK16)-1)*100</f>
        <v>-6.0399035784447612</v>
      </c>
      <c r="AQ16" s="33">
        <v>41366</v>
      </c>
      <c r="AR16" s="34">
        <v>10</v>
      </c>
      <c r="AS16" s="41">
        <f t="shared" si="16"/>
        <v>24.174442779093944</v>
      </c>
      <c r="AT16" s="36">
        <f t="shared" si="17"/>
        <v>3.1852959916050052</v>
      </c>
      <c r="AU16" s="42">
        <v>0.154</v>
      </c>
      <c r="AV16" s="42">
        <v>0.57840000000000003</v>
      </c>
      <c r="AW16" s="43">
        <v>4.8599999999999997E-2</v>
      </c>
      <c r="AX16" s="39">
        <f>(EXP(0.001) - 1) * 100</f>
        <v>0.10005001667083846</v>
      </c>
      <c r="AY16" s="39">
        <f>(EXP(0.307) - 1) * 100</f>
        <v>35.93409680719806</v>
      </c>
      <c r="AZ16" s="40">
        <f>(EXP(AU16)-1)*100</f>
        <v>16.64908867784396</v>
      </c>
      <c r="BA16" s="33">
        <v>20308</v>
      </c>
      <c r="BB16" s="34">
        <v>48</v>
      </c>
      <c r="BC16" s="41">
        <f t="shared" si="9"/>
        <v>236.36005515067956</v>
      </c>
      <c r="BD16" s="36">
        <f t="shared" si="10"/>
        <v>5.4653562998108347</v>
      </c>
      <c r="BE16" s="42">
        <v>6.2899999999999998E-2</v>
      </c>
      <c r="BF16" s="42">
        <v>0.75339999999999996</v>
      </c>
      <c r="BG16" s="43">
        <v>1.5699999999999999E-2</v>
      </c>
      <c r="BH16" s="39">
        <f>(EXP(0.02) - 1) * 100</f>
        <v>2.0201340026755776</v>
      </c>
      <c r="BI16" s="39">
        <f>(EXP(0.106) - 1) * 100</f>
        <v>11.182187650653086</v>
      </c>
      <c r="BJ16" s="40">
        <f>(EXP(BE16)-1)*100</f>
        <v>6.4920341872338971</v>
      </c>
      <c r="BK16" s="33">
        <v>81282</v>
      </c>
      <c r="BL16" s="34">
        <v>1</v>
      </c>
      <c r="BM16" s="45">
        <f t="shared" si="19"/>
        <v>1.2302846878767748</v>
      </c>
      <c r="BN16" s="36">
        <f>LN(BM16)</f>
        <v>0.20724559616143712</v>
      </c>
      <c r="BO16" s="42">
        <v>1.7999999999999999E-2</v>
      </c>
      <c r="BP16" s="42">
        <v>-0.24510000000000001</v>
      </c>
      <c r="BQ16" s="43">
        <v>0.90600000000000003</v>
      </c>
      <c r="BR16" s="39">
        <f>(EXP(-0.379) - 1) * 100</f>
        <v>-31.545438733372176</v>
      </c>
      <c r="BS16" s="39">
        <f>(EXP(0.415) - 1) * 100</f>
        <v>51.437074069204812</v>
      </c>
      <c r="BT16" s="40">
        <f>(EXP(BO16)-1)*100</f>
        <v>1.8162976389793695</v>
      </c>
      <c r="BU16" s="33">
        <v>37759</v>
      </c>
      <c r="BV16" s="34">
        <v>8</v>
      </c>
      <c r="BW16" s="45">
        <f t="shared" si="12"/>
        <v>21.187001774411396</v>
      </c>
      <c r="BX16" s="36">
        <f t="shared" si="13"/>
        <v>3.0533878697921568</v>
      </c>
      <c r="BY16" s="42">
        <v>0.1726</v>
      </c>
      <c r="BZ16" s="42">
        <v>0.74370000000000003</v>
      </c>
      <c r="CA16" s="43">
        <v>1.7000000000000001E-2</v>
      </c>
      <c r="CB16" s="39">
        <f>(EXP(0.051) - 1) * 100</f>
        <v>5.2322893283203831</v>
      </c>
      <c r="CC16" s="39">
        <f>(EXP(0.294) - 1) * 100</f>
        <v>34.178390366697144</v>
      </c>
      <c r="CD16" s="40">
        <f>(EXP(BY16)-1)*100</f>
        <v>18.839065373860709</v>
      </c>
      <c r="CE16" s="33">
        <v>15168</v>
      </c>
      <c r="CF16" s="34">
        <v>14</v>
      </c>
      <c r="CG16" s="45">
        <f t="shared" si="14"/>
        <v>92.299578059071735</v>
      </c>
      <c r="CH16" s="36">
        <f t="shared" si="15"/>
        <v>4.5250395700906845</v>
      </c>
      <c r="CI16" s="42">
        <v>0.15459999999999999</v>
      </c>
      <c r="CJ16" s="42">
        <v>0.53459999999999996</v>
      </c>
      <c r="CK16" s="43">
        <v>6.0199999999999997E-2</v>
      </c>
      <c r="CL16" s="39">
        <f>(EXP(-0.011) - 1) * 100</f>
        <v>-1.0939721224631271</v>
      </c>
      <c r="CM16" s="39">
        <f>(EXP(0.32) - 1) * 100</f>
        <v>37.712776433595721</v>
      </c>
      <c r="CN16" s="40">
        <f t="shared" ref="CN16" si="21">(EXP(CI16)-1)*100</f>
        <v>16.719099132086622</v>
      </c>
    </row>
    <row r="17" spans="1:92" ht="15.6" thickTop="1" thickBot="1" x14ac:dyDescent="0.35">
      <c r="A17" s="23">
        <v>2017</v>
      </c>
      <c r="B17" s="24"/>
      <c r="C17" s="25">
        <v>3966332</v>
      </c>
      <c r="D17" s="23">
        <v>102</v>
      </c>
      <c r="E17" s="26">
        <f t="shared" si="1"/>
        <v>2.5716455405145107</v>
      </c>
      <c r="F17" s="27">
        <f t="shared" si="2"/>
        <v>0.94454598214807794</v>
      </c>
      <c r="G17" s="28"/>
      <c r="H17" s="28"/>
      <c r="I17" s="29"/>
      <c r="J17" s="30"/>
      <c r="K17" s="30"/>
      <c r="L17" s="30"/>
      <c r="M17" s="25">
        <v>1972066</v>
      </c>
      <c r="N17" s="23">
        <v>72</v>
      </c>
      <c r="O17" s="26">
        <f t="shared" si="3"/>
        <v>3.6509934251693403</v>
      </c>
      <c r="P17" s="27">
        <f t="shared" si="4"/>
        <v>1.294999301841788</v>
      </c>
      <c r="Q17" s="31"/>
      <c r="R17" s="31"/>
      <c r="S17" s="32"/>
      <c r="T17" s="30"/>
      <c r="U17" s="30"/>
      <c r="V17" s="30"/>
      <c r="W17" s="25">
        <v>1994266</v>
      </c>
      <c r="X17" s="23">
        <v>30</v>
      </c>
      <c r="Y17" s="26">
        <f t="shared" si="5"/>
        <v>1.5043128649839088</v>
      </c>
      <c r="Z17" s="27">
        <f t="shared" si="6"/>
        <v>0.40833622582487678</v>
      </c>
      <c r="AA17" s="31"/>
      <c r="AB17" s="31"/>
      <c r="AC17" s="32"/>
      <c r="AD17" s="30"/>
      <c r="AE17" s="30"/>
      <c r="AF17" s="30"/>
      <c r="AG17" s="33">
        <v>87894</v>
      </c>
      <c r="AH17" s="34">
        <v>3</v>
      </c>
      <c r="AI17" s="41">
        <f t="shared" si="7"/>
        <v>3.4132022663663051</v>
      </c>
      <c r="AJ17" s="36">
        <f t="shared" si="8"/>
        <v>1.2276509316805133</v>
      </c>
      <c r="AK17" s="37"/>
      <c r="AL17" s="37"/>
      <c r="AM17" s="38"/>
      <c r="AN17" s="46"/>
      <c r="AO17" s="46"/>
      <c r="AP17" s="40"/>
      <c r="AQ17" s="33">
        <v>43159</v>
      </c>
      <c r="AR17" s="34">
        <v>12</v>
      </c>
      <c r="AS17" s="41">
        <f t="shared" si="16"/>
        <v>27.804165990870963</v>
      </c>
      <c r="AT17" s="36">
        <f t="shared" si="17"/>
        <v>3.32518586525606</v>
      </c>
      <c r="AU17" s="47"/>
      <c r="AV17" s="47"/>
      <c r="AW17" s="48"/>
      <c r="AX17" s="46"/>
      <c r="AY17" s="46"/>
      <c r="AZ17" s="40"/>
      <c r="BA17" s="33">
        <v>21130</v>
      </c>
      <c r="BB17" s="34">
        <v>54</v>
      </c>
      <c r="BC17" s="41">
        <f t="shared" si="9"/>
        <v>255.56081400851869</v>
      </c>
      <c r="BD17" s="36">
        <f t="shared" si="10"/>
        <v>5.5434604009244008</v>
      </c>
      <c r="BE17" s="47"/>
      <c r="BF17" s="47"/>
      <c r="BG17" s="48"/>
      <c r="BH17" s="46"/>
      <c r="BI17" s="46"/>
      <c r="BJ17" s="40"/>
      <c r="BK17" s="33">
        <v>85743</v>
      </c>
      <c r="BL17" s="34">
        <v>2</v>
      </c>
      <c r="BM17" s="45">
        <f t="shared" si="19"/>
        <v>2.3325519284373066</v>
      </c>
      <c r="BN17" s="36">
        <f t="shared" si="0"/>
        <v>0.84696291648717492</v>
      </c>
      <c r="BO17" s="47"/>
      <c r="BP17" s="47"/>
      <c r="BQ17" s="48"/>
      <c r="BR17" s="46"/>
      <c r="BS17" s="46"/>
      <c r="BT17" s="40"/>
      <c r="BU17" s="33">
        <v>39359</v>
      </c>
      <c r="BV17" s="34">
        <v>8</v>
      </c>
      <c r="BW17" s="45">
        <f t="shared" si="12"/>
        <v>20.325719657511623</v>
      </c>
      <c r="BX17" s="36">
        <f t="shared" si="13"/>
        <v>3.0118870623106901</v>
      </c>
      <c r="BY17" s="47"/>
      <c r="BZ17" s="47"/>
      <c r="CA17" s="48"/>
      <c r="CB17" s="46"/>
      <c r="CC17" s="46"/>
      <c r="CD17" s="40"/>
      <c r="CE17" s="33">
        <v>15779</v>
      </c>
      <c r="CF17" s="34">
        <v>20</v>
      </c>
      <c r="CG17" s="45">
        <f t="shared" si="14"/>
        <v>126.75074466062489</v>
      </c>
      <c r="CH17" s="36">
        <f t="shared" si="15"/>
        <v>4.8422225174885503</v>
      </c>
      <c r="CI17" s="47"/>
      <c r="CJ17" s="47"/>
      <c r="CK17" s="48"/>
      <c r="CL17" s="46"/>
      <c r="CM17" s="46"/>
      <c r="CN17" s="40"/>
    </row>
    <row r="18" spans="1:92" ht="15.6" thickTop="1" thickBot="1" x14ac:dyDescent="0.35">
      <c r="A18" s="23">
        <v>2018</v>
      </c>
      <c r="B18" s="24"/>
      <c r="C18" s="25">
        <v>4018483</v>
      </c>
      <c r="D18" s="23">
        <v>113</v>
      </c>
      <c r="E18" s="26">
        <f t="shared" si="1"/>
        <v>2.8120064213286455</v>
      </c>
      <c r="F18" s="27">
        <f t="shared" si="2"/>
        <v>1.0338982574908486</v>
      </c>
      <c r="G18" s="28"/>
      <c r="H18" s="28"/>
      <c r="I18" s="29"/>
      <c r="J18" s="30"/>
      <c r="K18" s="30"/>
      <c r="L18" s="30"/>
      <c r="M18" s="25">
        <v>1997414</v>
      </c>
      <c r="N18" s="23">
        <v>68</v>
      </c>
      <c r="O18" s="26">
        <f t="shared" si="3"/>
        <v>3.4044018916458985</v>
      </c>
      <c r="P18" s="27">
        <f t="shared" si="4"/>
        <v>1.2250692682678823</v>
      </c>
      <c r="Q18" s="31"/>
      <c r="R18" s="31"/>
      <c r="S18" s="32"/>
      <c r="T18" s="30"/>
      <c r="U18" s="30"/>
      <c r="V18" s="30"/>
      <c r="W18" s="25">
        <v>2021069</v>
      </c>
      <c r="X18" s="23">
        <v>45</v>
      </c>
      <c r="Y18" s="26">
        <f t="shared" si="5"/>
        <v>2.2265444673091319</v>
      </c>
      <c r="Z18" s="27">
        <f t="shared" si="6"/>
        <v>0.80045081742349644</v>
      </c>
      <c r="AA18" s="31"/>
      <c r="AB18" s="31"/>
      <c r="AC18" s="32"/>
      <c r="AD18" s="30"/>
      <c r="AE18" s="30"/>
      <c r="AF18" s="30"/>
      <c r="AG18" s="33">
        <v>92805</v>
      </c>
      <c r="AH18" s="34">
        <v>3</v>
      </c>
      <c r="AI18" s="41">
        <f t="shared" si="7"/>
        <v>3.2325844512687896</v>
      </c>
      <c r="AJ18" s="36">
        <f t="shared" si="8"/>
        <v>1.1732819570051394</v>
      </c>
      <c r="AK18" s="37"/>
      <c r="AL18" s="37"/>
      <c r="AM18" s="38"/>
      <c r="AN18" s="46"/>
      <c r="AO18" s="46"/>
      <c r="AP18" s="40"/>
      <c r="AQ18" s="33">
        <v>45123</v>
      </c>
      <c r="AR18" s="34">
        <v>10</v>
      </c>
      <c r="AS18" s="41">
        <f t="shared" si="16"/>
        <v>22.161647053609023</v>
      </c>
      <c r="AT18" s="36">
        <f t="shared" si="17"/>
        <v>3.098363184640951</v>
      </c>
      <c r="AU18" s="47"/>
      <c r="AV18" s="47"/>
      <c r="AW18" s="48"/>
      <c r="AX18" s="46"/>
      <c r="AY18" s="46"/>
      <c r="AZ18" s="40"/>
      <c r="BA18" s="33">
        <v>22027</v>
      </c>
      <c r="BB18" s="34">
        <v>55</v>
      </c>
      <c r="BC18" s="41">
        <f t="shared" si="9"/>
        <v>249.693557906206</v>
      </c>
      <c r="BD18" s="36">
        <f t="shared" si="10"/>
        <v>5.520234397618542</v>
      </c>
      <c r="BE18" s="47"/>
      <c r="BF18" s="47"/>
      <c r="BG18" s="48"/>
      <c r="BH18" s="46"/>
      <c r="BI18" s="46"/>
      <c r="BJ18" s="40"/>
      <c r="BK18" s="33">
        <v>90430</v>
      </c>
      <c r="BL18" s="34">
        <v>3</v>
      </c>
      <c r="BM18" s="45">
        <f t="shared" si="19"/>
        <v>3.3174831361273913</v>
      </c>
      <c r="BN18" s="36">
        <f t="shared" si="0"/>
        <v>1.1992064039038122</v>
      </c>
      <c r="BO18" s="47"/>
      <c r="BP18" s="47"/>
      <c r="BQ18" s="48"/>
      <c r="BR18" s="46"/>
      <c r="BS18" s="46"/>
      <c r="BT18" s="40"/>
      <c r="BU18" s="33">
        <v>41080</v>
      </c>
      <c r="BV18" s="34">
        <v>15</v>
      </c>
      <c r="BW18" s="45">
        <f t="shared" si="12"/>
        <v>36.514118792599803</v>
      </c>
      <c r="BX18" s="36">
        <f t="shared" si="13"/>
        <v>3.5976990020299437</v>
      </c>
      <c r="BY18" s="47"/>
      <c r="BZ18" s="47"/>
      <c r="CA18" s="48"/>
      <c r="CB18" s="46"/>
      <c r="CC18" s="46"/>
      <c r="CD18" s="40"/>
      <c r="CE18" s="33">
        <v>16429</v>
      </c>
      <c r="CF18" s="34">
        <v>27</v>
      </c>
      <c r="CG18" s="45">
        <f t="shared" si="14"/>
        <v>164.34353886420354</v>
      </c>
      <c r="CH18" s="36">
        <f t="shared" si="15"/>
        <v>5.1019589860682206</v>
      </c>
      <c r="CI18" s="47"/>
      <c r="CJ18" s="47"/>
      <c r="CK18" s="48"/>
      <c r="CL18" s="46"/>
      <c r="CM18" s="46"/>
      <c r="CN18" s="40"/>
    </row>
    <row r="19" spans="1:92" ht="15.6" thickTop="1" thickBot="1" x14ac:dyDescent="0.35">
      <c r="A19" s="23">
        <v>2019</v>
      </c>
      <c r="B19" s="24"/>
      <c r="C19" s="25">
        <v>4073280</v>
      </c>
      <c r="D19" s="23">
        <v>139</v>
      </c>
      <c r="E19" s="26">
        <f t="shared" si="1"/>
        <v>3.4124833058370654</v>
      </c>
      <c r="F19" s="27">
        <f t="shared" si="2"/>
        <v>1.2274402684367136</v>
      </c>
      <c r="G19" s="28"/>
      <c r="H19" s="28"/>
      <c r="I19" s="29"/>
      <c r="J19" s="30"/>
      <c r="K19" s="30"/>
      <c r="L19" s="30"/>
      <c r="M19" s="25">
        <v>2024152</v>
      </c>
      <c r="N19" s="23">
        <v>84</v>
      </c>
      <c r="O19" s="26">
        <f t="shared" si="3"/>
        <v>4.1498859769424437</v>
      </c>
      <c r="P19" s="27">
        <f t="shared" si="4"/>
        <v>1.4230808584295944</v>
      </c>
      <c r="Q19" s="31"/>
      <c r="R19" s="31"/>
      <c r="S19" s="32"/>
      <c r="T19" s="30"/>
      <c r="U19" s="30"/>
      <c r="V19" s="30"/>
      <c r="W19" s="25">
        <v>2049128</v>
      </c>
      <c r="X19" s="23">
        <v>55</v>
      </c>
      <c r="Y19" s="26">
        <f t="shared" si="5"/>
        <v>2.684068540374247</v>
      </c>
      <c r="Z19" s="27">
        <f t="shared" si="6"/>
        <v>0.98733375543548452</v>
      </c>
      <c r="AA19" s="31"/>
      <c r="AB19" s="31"/>
      <c r="AC19" s="32"/>
      <c r="AD19" s="30"/>
      <c r="AE19" s="30"/>
      <c r="AF19" s="30"/>
      <c r="AG19" s="33">
        <v>97821</v>
      </c>
      <c r="AH19" s="34">
        <v>2</v>
      </c>
      <c r="AI19" s="41">
        <f>(AH19/AG19)*100000</f>
        <v>2.0445507610840208</v>
      </c>
      <c r="AJ19" s="36">
        <f>LN(AI19)</f>
        <v>0.71517808863076737</v>
      </c>
      <c r="AK19" s="37"/>
      <c r="AL19" s="37"/>
      <c r="AM19" s="38"/>
      <c r="AN19" s="46"/>
      <c r="AO19" s="46"/>
      <c r="AP19" s="40"/>
      <c r="AQ19" s="33">
        <v>47350</v>
      </c>
      <c r="AR19" s="34">
        <v>22</v>
      </c>
      <c r="AS19" s="41">
        <f t="shared" si="16"/>
        <v>46.462513199577614</v>
      </c>
      <c r="AT19" s="36">
        <f t="shared" si="17"/>
        <v>3.8386458197143201</v>
      </c>
      <c r="AU19" s="47"/>
      <c r="AV19" s="47"/>
      <c r="AW19" s="48"/>
      <c r="AX19" s="46"/>
      <c r="AY19" s="46"/>
      <c r="AZ19" s="40"/>
      <c r="BA19" s="33">
        <v>22966</v>
      </c>
      <c r="BB19" s="34">
        <v>60</v>
      </c>
      <c r="BC19" s="41">
        <f t="shared" si="9"/>
        <v>261.25576939824089</v>
      </c>
      <c r="BD19" s="36">
        <f t="shared" si="10"/>
        <v>5.5654998868561947</v>
      </c>
      <c r="BE19" s="47"/>
      <c r="BF19" s="47"/>
      <c r="BG19" s="48"/>
      <c r="BH19" s="46"/>
      <c r="BI19" s="46"/>
      <c r="BJ19" s="40"/>
      <c r="BK19" s="33">
        <v>95193</v>
      </c>
      <c r="BL19" s="34">
        <v>1</v>
      </c>
      <c r="BM19" s="45">
        <f t="shared" si="19"/>
        <v>1.0504974105238829</v>
      </c>
      <c r="BN19" s="36">
        <f t="shared" si="0"/>
        <v>4.9263776305956013E-2</v>
      </c>
      <c r="BO19" s="47"/>
      <c r="BP19" s="47"/>
      <c r="BQ19" s="48"/>
      <c r="BR19" s="46"/>
      <c r="BS19" s="46"/>
      <c r="BT19" s="40"/>
      <c r="BU19" s="33">
        <v>42967</v>
      </c>
      <c r="BV19" s="34">
        <v>18</v>
      </c>
      <c r="BW19" s="45">
        <f t="shared" si="12"/>
        <v>41.892615262876163</v>
      </c>
      <c r="BX19" s="36">
        <f t="shared" si="13"/>
        <v>3.7351095646854162</v>
      </c>
      <c r="BY19" s="47"/>
      <c r="BZ19" s="47"/>
      <c r="CA19" s="48"/>
      <c r="CB19" s="46"/>
      <c r="CC19" s="46"/>
      <c r="CD19" s="40"/>
      <c r="CE19" s="33">
        <v>17107</v>
      </c>
      <c r="CF19" s="34">
        <v>36</v>
      </c>
      <c r="CG19" s="45">
        <f t="shared" si="14"/>
        <v>210.44017069036065</v>
      </c>
      <c r="CH19" s="36">
        <f t="shared" si="15"/>
        <v>5.3492013879740465</v>
      </c>
      <c r="CI19" s="47"/>
      <c r="CJ19" s="47"/>
      <c r="CK19" s="48"/>
      <c r="CL19" s="46"/>
      <c r="CM19" s="46"/>
      <c r="CN19" s="40"/>
    </row>
    <row r="20" spans="1:92" ht="15.6" thickTop="1" thickBot="1" x14ac:dyDescent="0.35">
      <c r="A20" s="23">
        <v>2020</v>
      </c>
      <c r="B20" s="24"/>
      <c r="C20" s="25">
        <v>4121226</v>
      </c>
      <c r="D20" s="23">
        <v>169</v>
      </c>
      <c r="E20" s="26">
        <f t="shared" si="1"/>
        <v>4.1007214843350015</v>
      </c>
      <c r="F20" s="27">
        <f t="shared" si="2"/>
        <v>1.4111629300180677</v>
      </c>
      <c r="G20" s="28"/>
      <c r="H20" s="28"/>
      <c r="I20" s="29"/>
      <c r="J20" s="30"/>
      <c r="K20" s="30"/>
      <c r="L20" s="30"/>
      <c r="M20" s="25">
        <v>2048341</v>
      </c>
      <c r="N20" s="23">
        <v>104</v>
      </c>
      <c r="O20" s="26">
        <f t="shared" si="3"/>
        <v>5.0772796131112932</v>
      </c>
      <c r="P20" s="27">
        <f t="shared" si="4"/>
        <v>1.6247756089240524</v>
      </c>
      <c r="Q20" s="31"/>
      <c r="R20" s="31"/>
      <c r="S20" s="32"/>
      <c r="T20" s="30"/>
      <c r="U20" s="30"/>
      <c r="V20" s="30"/>
      <c r="W20" s="25">
        <v>2072885</v>
      </c>
      <c r="X20" s="23">
        <v>65</v>
      </c>
      <c r="Y20" s="26">
        <f t="shared" si="5"/>
        <v>3.1357262945122382</v>
      </c>
      <c r="Z20" s="27">
        <f t="shared" si="6"/>
        <v>1.14286082014353</v>
      </c>
      <c r="AA20" s="31"/>
      <c r="AB20" s="31"/>
      <c r="AC20" s="32"/>
      <c r="AD20" s="30"/>
      <c r="AE20" s="30"/>
      <c r="AF20" s="30"/>
      <c r="AG20" s="33">
        <v>102551</v>
      </c>
      <c r="AH20" s="34">
        <v>3</v>
      </c>
      <c r="AI20" s="41">
        <f t="shared" si="7"/>
        <v>2.925373716492282</v>
      </c>
      <c r="AJ20" s="36">
        <f t="shared" si="8"/>
        <v>1.073422238844546</v>
      </c>
      <c r="AK20" s="37"/>
      <c r="AL20" s="37"/>
      <c r="AM20" s="38"/>
      <c r="AN20" s="46"/>
      <c r="AO20" s="46"/>
      <c r="AP20" s="40"/>
      <c r="AQ20" s="33">
        <v>49595</v>
      </c>
      <c r="AR20" s="34">
        <v>24</v>
      </c>
      <c r="AS20" s="41">
        <f t="shared" si="16"/>
        <v>48.391974997479586</v>
      </c>
      <c r="AT20" s="36">
        <f t="shared" si="17"/>
        <v>3.8793339941380798</v>
      </c>
      <c r="AU20" s="47"/>
      <c r="AV20" s="47"/>
      <c r="AW20" s="48"/>
      <c r="AX20" s="46"/>
      <c r="AY20" s="46"/>
      <c r="AZ20" s="40"/>
      <c r="BA20" s="33">
        <v>23625</v>
      </c>
      <c r="BB20" s="34">
        <v>77</v>
      </c>
      <c r="BC20" s="41">
        <f t="shared" si="9"/>
        <v>325.92592592592592</v>
      </c>
      <c r="BD20" s="36">
        <f t="shared" si="10"/>
        <v>5.7866701344619687</v>
      </c>
      <c r="BE20" s="47"/>
      <c r="BF20" s="47"/>
      <c r="BG20" s="48"/>
      <c r="BH20" s="46"/>
      <c r="BI20" s="46"/>
      <c r="BJ20" s="40"/>
      <c r="BK20" s="33">
        <v>99380</v>
      </c>
      <c r="BL20" s="34">
        <v>1</v>
      </c>
      <c r="BM20" s="45">
        <f t="shared" si="19"/>
        <v>1.0062386798148522</v>
      </c>
      <c r="BN20" s="36">
        <f t="shared" si="0"/>
        <v>6.219299813916921E-3</v>
      </c>
      <c r="BO20" s="47"/>
      <c r="BP20" s="47"/>
      <c r="BQ20" s="48"/>
      <c r="BR20" s="46"/>
      <c r="BS20" s="46"/>
      <c r="BT20" s="40"/>
      <c r="BU20" s="33">
        <v>44431</v>
      </c>
      <c r="BV20" s="34">
        <v>19</v>
      </c>
      <c r="BW20" s="45">
        <f t="shared" si="12"/>
        <v>42.762935788075893</v>
      </c>
      <c r="BX20" s="36">
        <f t="shared" si="13"/>
        <v>3.755671741145123</v>
      </c>
      <c r="BY20" s="47"/>
      <c r="BZ20" s="47"/>
      <c r="CA20" s="48"/>
      <c r="CB20" s="46"/>
      <c r="CC20" s="46"/>
      <c r="CD20" s="40"/>
      <c r="CE20" s="33">
        <v>17358</v>
      </c>
      <c r="CF20" s="34">
        <v>45</v>
      </c>
      <c r="CG20" s="45">
        <f t="shared" si="14"/>
        <v>259.24645696508816</v>
      </c>
      <c r="CH20" s="36">
        <f t="shared" si="15"/>
        <v>5.5577791805363583</v>
      </c>
      <c r="CI20" s="47"/>
      <c r="CJ20" s="47"/>
      <c r="CK20" s="48"/>
      <c r="CL20" s="46"/>
      <c r="CM20" s="46"/>
      <c r="CN20" s="40"/>
    </row>
    <row r="21" spans="1:92" ht="15.6" thickTop="1" thickBot="1" x14ac:dyDescent="0.35">
      <c r="A21" s="23">
        <v>2021</v>
      </c>
      <c r="B21" s="24"/>
      <c r="C21" s="25">
        <v>4160013</v>
      </c>
      <c r="D21" s="23">
        <v>156</v>
      </c>
      <c r="E21" s="26">
        <f t="shared" si="1"/>
        <v>3.7499882812866208</v>
      </c>
      <c r="F21" s="27">
        <f>LN(E21)</f>
        <v>1.3217527149872021</v>
      </c>
      <c r="G21" s="28"/>
      <c r="H21" s="28"/>
      <c r="I21" s="29"/>
      <c r="J21" s="30"/>
      <c r="K21" s="30"/>
      <c r="L21" s="30"/>
      <c r="M21" s="25">
        <v>2068548</v>
      </c>
      <c r="N21" s="23">
        <v>103</v>
      </c>
      <c r="O21" s="26">
        <f t="shared" si="3"/>
        <v>4.9793381637747824</v>
      </c>
      <c r="P21" s="27">
        <f t="shared" si="4"/>
        <v>1.6052969833643231</v>
      </c>
      <c r="Q21" s="31"/>
      <c r="R21" s="31"/>
      <c r="S21" s="32"/>
      <c r="T21" s="30"/>
      <c r="U21" s="30"/>
      <c r="V21" s="30"/>
      <c r="W21" s="25">
        <v>2091465</v>
      </c>
      <c r="X21" s="23">
        <v>53</v>
      </c>
      <c r="Y21" s="26">
        <f t="shared" si="5"/>
        <v>2.5341088662731628</v>
      </c>
      <c r="Z21" s="27">
        <f t="shared" si="6"/>
        <v>0.92984204319912933</v>
      </c>
      <c r="AA21" s="31"/>
      <c r="AB21" s="31"/>
      <c r="AC21" s="32"/>
      <c r="AD21" s="30"/>
      <c r="AE21" s="30"/>
      <c r="AF21" s="30"/>
      <c r="AG21" s="33">
        <v>106715</v>
      </c>
      <c r="AH21" s="34">
        <v>4</v>
      </c>
      <c r="AI21" s="41">
        <f t="shared" si="7"/>
        <v>3.7483015508597668</v>
      </c>
      <c r="AJ21" s="36">
        <f t="shared" si="8"/>
        <v>1.3213028176124506</v>
      </c>
      <c r="AK21" s="37"/>
      <c r="AL21" s="37"/>
      <c r="AM21" s="38"/>
      <c r="AN21" s="49"/>
      <c r="AO21" s="49"/>
      <c r="AP21" s="40"/>
      <c r="AQ21" s="33">
        <v>51712</v>
      </c>
      <c r="AR21" s="34">
        <v>23</v>
      </c>
      <c r="AS21" s="41">
        <f t="shared" si="16"/>
        <v>44.477103960396043</v>
      </c>
      <c r="AT21" s="36">
        <f t="shared" si="17"/>
        <v>3.7949745390186109</v>
      </c>
      <c r="AU21" s="47"/>
      <c r="AV21" s="47"/>
      <c r="AW21" s="48"/>
      <c r="AX21" s="49"/>
      <c r="AY21" s="49"/>
      <c r="AZ21" s="40"/>
      <c r="BA21" s="33">
        <v>23839</v>
      </c>
      <c r="BB21" s="34">
        <v>75</v>
      </c>
      <c r="BC21" s="41">
        <f t="shared" si="9"/>
        <v>314.61051218591382</v>
      </c>
      <c r="BD21" s="36">
        <f t="shared" si="10"/>
        <v>5.751335404515749</v>
      </c>
      <c r="BE21" s="47"/>
      <c r="BF21" s="47"/>
      <c r="BG21" s="48"/>
      <c r="BH21" s="49"/>
      <c r="BI21" s="49"/>
      <c r="BJ21" s="40"/>
      <c r="BK21" s="33">
        <v>102886</v>
      </c>
      <c r="BL21" s="34">
        <v>3</v>
      </c>
      <c r="BM21" s="45">
        <f t="shared" si="19"/>
        <v>2.9158486091402134</v>
      </c>
      <c r="BN21" s="36">
        <f t="shared" si="0"/>
        <v>1.0701608954942083</v>
      </c>
      <c r="BO21" s="47"/>
      <c r="BP21" s="47"/>
      <c r="BQ21" s="48"/>
      <c r="BR21" s="49"/>
      <c r="BS21" s="49"/>
      <c r="BT21" s="40"/>
      <c r="BU21" s="33">
        <v>45464</v>
      </c>
      <c r="BV21" s="34">
        <v>20</v>
      </c>
      <c r="BW21" s="45">
        <f t="shared" si="12"/>
        <v>43.990849903220131</v>
      </c>
      <c r="BX21" s="36">
        <f t="shared" si="13"/>
        <v>3.7839816555472621</v>
      </c>
      <c r="BY21" s="47"/>
      <c r="BZ21" s="47"/>
      <c r="CA21" s="48"/>
      <c r="CB21" s="49"/>
      <c r="CC21" s="49"/>
      <c r="CD21" s="40"/>
      <c r="CE21" s="33">
        <v>17232</v>
      </c>
      <c r="CF21" s="34">
        <v>29</v>
      </c>
      <c r="CG21" s="45">
        <f t="shared" si="14"/>
        <v>168.29155060352832</v>
      </c>
      <c r="CH21" s="36">
        <f t="shared" si="15"/>
        <v>5.125697895560533</v>
      </c>
      <c r="CI21" s="47"/>
      <c r="CJ21" s="47"/>
      <c r="CK21" s="48"/>
      <c r="CL21" s="49"/>
      <c r="CM21" s="49"/>
      <c r="CN21" s="40"/>
    </row>
    <row r="22" spans="1:92" ht="15.6" thickTop="1" thickBot="1" x14ac:dyDescent="0.35">
      <c r="A22" s="50">
        <v>2016</v>
      </c>
      <c r="B22" s="51" t="s">
        <v>28</v>
      </c>
      <c r="C22" s="52">
        <v>8207830</v>
      </c>
      <c r="D22" s="50">
        <v>224</v>
      </c>
      <c r="E22" s="26">
        <f t="shared" si="1"/>
        <v>2.7291013580934305</v>
      </c>
      <c r="F22" s="53">
        <f t="shared" si="2"/>
        <v>1.0039723821480413</v>
      </c>
      <c r="G22" s="54">
        <v>9.06E-2</v>
      </c>
      <c r="H22" s="54">
        <v>0.53169999999999995</v>
      </c>
      <c r="I22" s="55">
        <v>6.0999999999999999E-2</v>
      </c>
      <c r="J22" s="30">
        <f>(EXP(-0.007)-1)*100</f>
        <v>-0.69755570667648925</v>
      </c>
      <c r="K22" s="30">
        <f>(EXP(0.188)-1)*100</f>
        <v>20.683351534960526</v>
      </c>
      <c r="L22" s="56">
        <f>(EXP(G22)-1)*100</f>
        <v>9.4830985266200827</v>
      </c>
      <c r="M22" s="52">
        <v>4079424</v>
      </c>
      <c r="N22" s="50">
        <v>136</v>
      </c>
      <c r="O22" s="57">
        <f t="shared" si="3"/>
        <v>3.3338039880139938</v>
      </c>
      <c r="P22" s="53">
        <f t="shared" si="4"/>
        <v>1.20411399076286</v>
      </c>
      <c r="Q22" s="58">
        <v>9.4600000000000004E-2</v>
      </c>
      <c r="R22" s="58">
        <v>0.49590000000000001</v>
      </c>
      <c r="S22" s="59">
        <v>7.17E-2</v>
      </c>
      <c r="T22" s="30">
        <f>(EXP(-0.013)-1)*100</f>
        <v>-1.2915864979712421</v>
      </c>
      <c r="U22" s="30">
        <f>(EXP(0.202)-1)*100</f>
        <v>22.384800811135808</v>
      </c>
      <c r="V22" s="56">
        <f t="shared" ref="V22" si="22">(EXP(Q22)-1)*100</f>
        <v>9.9219079545032294</v>
      </c>
      <c r="W22" s="52">
        <v>4128406</v>
      </c>
      <c r="X22" s="50">
        <v>88</v>
      </c>
      <c r="Y22" s="57">
        <f t="shared" si="5"/>
        <v>2.1315732997190682</v>
      </c>
      <c r="Z22" s="53">
        <f t="shared" si="6"/>
        <v>0.75686034542803182</v>
      </c>
      <c r="AA22" s="58">
        <v>8.0299999999999996E-2</v>
      </c>
      <c r="AB22" s="58">
        <v>0.4864</v>
      </c>
      <c r="AC22" s="59">
        <v>7.4700000000000003E-2</v>
      </c>
      <c r="AD22" s="30">
        <f>(EXP(-0.013)-1)*100</f>
        <v>-1.2915864979712421</v>
      </c>
      <c r="AE22" s="30">
        <f>(EXP(0.173)-1)*100</f>
        <v>18.886610508403212</v>
      </c>
      <c r="AF22" s="56">
        <f>(EXP(AA22)-1)*100</f>
        <v>8.3612102548054281</v>
      </c>
      <c r="AG22" s="60">
        <v>200706</v>
      </c>
      <c r="AH22" s="61">
        <v>5</v>
      </c>
      <c r="AI22" s="62">
        <f t="shared" si="7"/>
        <v>2.491206042669377</v>
      </c>
      <c r="AJ22" s="63">
        <f>LN(AI22)</f>
        <v>0.91276694770053857</v>
      </c>
      <c r="AK22" s="64">
        <v>2.4299999999999999E-2</v>
      </c>
      <c r="AL22" s="64">
        <v>-0.18190000000000001</v>
      </c>
      <c r="AM22" s="65">
        <v>0.65629999999999999</v>
      </c>
      <c r="AN22" s="39">
        <f>(EXP(-0.116) - 1) * 100</f>
        <v>-10.952477670252737</v>
      </c>
      <c r="AO22" s="39">
        <f>(EXP(0.165) - 1) * 100</f>
        <v>17.939311871139061</v>
      </c>
      <c r="AP22" s="66">
        <f>(EXP(AK22)-1)*100</f>
        <v>2.4597651083662742</v>
      </c>
      <c r="AQ22" s="60">
        <v>106759</v>
      </c>
      <c r="AR22" s="61">
        <v>31</v>
      </c>
      <c r="AS22" s="62">
        <f t="shared" si="16"/>
        <v>29.037364531327572</v>
      </c>
      <c r="AT22" s="63">
        <f>LN(AS22)</f>
        <v>3.3685834327848294</v>
      </c>
      <c r="AU22" s="67">
        <v>4.8000000000000001E-2</v>
      </c>
      <c r="AV22" s="67">
        <v>-7.5999999999999998E-2</v>
      </c>
      <c r="AW22" s="68">
        <v>0.46639999999999998</v>
      </c>
      <c r="AX22" s="39">
        <f>(EXP(-0.118) - 1) * 100</f>
        <v>-11.130394738538262</v>
      </c>
      <c r="AY22" s="39">
        <f>(EXP(0.214) - 1) * 100</f>
        <v>23.862265479345226</v>
      </c>
      <c r="AZ22" s="66">
        <f>(EXP(AU22)-1)*100</f>
        <v>4.9170655324470625</v>
      </c>
      <c r="BA22" s="60">
        <v>51565</v>
      </c>
      <c r="BB22" s="61">
        <v>100</v>
      </c>
      <c r="BC22" s="62">
        <f t="shared" si="9"/>
        <v>193.92999127315039</v>
      </c>
      <c r="BD22" s="63">
        <f t="shared" si="10"/>
        <v>5.2674972242081504</v>
      </c>
      <c r="BE22" s="67">
        <v>6.6600000000000006E-2</v>
      </c>
      <c r="BF22" s="67">
        <v>0.13400000000000001</v>
      </c>
      <c r="BG22" s="68">
        <v>0.25369999999999998</v>
      </c>
      <c r="BH22" s="39">
        <f>(EXP(-0.072) - 1) * 100</f>
        <v>-6.9469104188794262</v>
      </c>
      <c r="BI22" s="39">
        <f>(EXP(0.205) - 1) * 100</f>
        <v>22.752506496317771</v>
      </c>
      <c r="BJ22" s="66">
        <f>(EXP(BE22)-1)*100</f>
        <v>6.8867845515564019</v>
      </c>
      <c r="BK22" s="60">
        <v>200803</v>
      </c>
      <c r="BL22" s="61">
        <v>6</v>
      </c>
      <c r="BM22" s="69">
        <f t="shared" si="19"/>
        <v>2.9880031672833574</v>
      </c>
      <c r="BN22" s="63">
        <f t="shared" si="0"/>
        <v>1.0946053272711327</v>
      </c>
      <c r="BO22" s="67">
        <v>-2.3E-3</v>
      </c>
      <c r="BP22" s="67">
        <v>-0.24970000000000001</v>
      </c>
      <c r="BQ22" s="68">
        <v>0.97729999999999995</v>
      </c>
      <c r="BR22" s="39">
        <f>(EXP(-0.212) - 1) * 100</f>
        <v>-19.103530243350018</v>
      </c>
      <c r="BS22" s="39">
        <f>(EXP(0.207) - 1) * 100</f>
        <v>22.998257178075264</v>
      </c>
      <c r="BT22" s="66">
        <f>(EXP(BO22)-1)*100</f>
        <v>-0.229735702666789</v>
      </c>
      <c r="BU22" s="60">
        <v>99458</v>
      </c>
      <c r="BV22" s="61">
        <v>20</v>
      </c>
      <c r="BW22" s="69">
        <f t="shared" si="12"/>
        <v>20.108990729755273</v>
      </c>
      <c r="BX22" s="63">
        <f t="shared" si="13"/>
        <v>3.0011670150440364</v>
      </c>
      <c r="BY22" s="67">
        <v>6.8599999999999994E-2</v>
      </c>
      <c r="BZ22" s="67">
        <v>0.4723</v>
      </c>
      <c r="CA22" s="68">
        <v>7.9299999999999995E-2</v>
      </c>
      <c r="CB22" s="39">
        <f>(EXP(-0.013) - 1) * 100</f>
        <v>-1.2915864979712421</v>
      </c>
      <c r="CC22" s="39">
        <f>(EXP(0.15) - 1) * 100</f>
        <v>16.183424272828304</v>
      </c>
      <c r="CD22" s="66">
        <f>(EXP(BY22)-1)*100</f>
        <v>7.1007720368156058</v>
      </c>
      <c r="CE22" s="60">
        <v>38768</v>
      </c>
      <c r="CF22" s="61">
        <v>62</v>
      </c>
      <c r="CG22" s="69">
        <f t="shared" si="14"/>
        <v>159.92571192736276</v>
      </c>
      <c r="CH22" s="63">
        <f t="shared" si="15"/>
        <v>5.0747094069590126</v>
      </c>
      <c r="CI22" s="67">
        <v>4.0300000000000002E-2</v>
      </c>
      <c r="CJ22" s="67">
        <v>-5.5999999999999999E-3</v>
      </c>
      <c r="CK22" s="68">
        <v>0.38</v>
      </c>
      <c r="CL22" s="39">
        <f>(EXP(-0.073) - 1) * 100</f>
        <v>-7.0399169974207254</v>
      </c>
      <c r="CM22" s="39">
        <f>(EXP(0.154) - 1) * 100</f>
        <v>16.64908867784396</v>
      </c>
      <c r="CN22" s="66">
        <f t="shared" ref="CN22" si="23">(EXP(CI22)-1)*100</f>
        <v>4.1123064265814691</v>
      </c>
    </row>
    <row r="23" spans="1:92" ht="15.6" thickTop="1" thickBot="1" x14ac:dyDescent="0.35">
      <c r="A23" s="50">
        <v>2017</v>
      </c>
      <c r="B23" s="51"/>
      <c r="C23" s="52">
        <v>8275842</v>
      </c>
      <c r="D23" s="50">
        <v>262</v>
      </c>
      <c r="E23" s="26">
        <f t="shared" si="1"/>
        <v>3.1658410104977839</v>
      </c>
      <c r="F23" s="53">
        <f t="shared" si="2"/>
        <v>1.1524187424144743</v>
      </c>
      <c r="G23" s="54"/>
      <c r="H23" s="54"/>
      <c r="I23" s="55"/>
      <c r="J23" s="30"/>
      <c r="K23" s="30"/>
      <c r="L23" s="56"/>
      <c r="M23" s="52">
        <v>4113792</v>
      </c>
      <c r="N23" s="50">
        <v>161</v>
      </c>
      <c r="O23" s="57">
        <f t="shared" si="3"/>
        <v>3.9136640841345409</v>
      </c>
      <c r="P23" s="53">
        <f t="shared" si="4"/>
        <v>1.3644740411044065</v>
      </c>
      <c r="Q23" s="58"/>
      <c r="R23" s="58"/>
      <c r="S23" s="59"/>
      <c r="T23" s="30"/>
      <c r="U23" s="30"/>
      <c r="V23" s="56"/>
      <c r="W23" s="52">
        <v>4162050</v>
      </c>
      <c r="X23" s="50">
        <v>101</v>
      </c>
      <c r="Y23" s="57">
        <f t="shared" si="5"/>
        <v>2.4266887711584433</v>
      </c>
      <c r="Z23" s="53">
        <f t="shared" si="6"/>
        <v>0.88652768249286229</v>
      </c>
      <c r="AA23" s="58"/>
      <c r="AB23" s="58"/>
      <c r="AC23" s="59"/>
      <c r="AD23" s="30"/>
      <c r="AE23" s="30"/>
      <c r="AF23" s="56"/>
      <c r="AG23" s="60">
        <v>210637</v>
      </c>
      <c r="AH23" s="61">
        <v>4</v>
      </c>
      <c r="AI23" s="62">
        <f t="shared" si="7"/>
        <v>1.8990015999088481</v>
      </c>
      <c r="AJ23" s="63">
        <f t="shared" si="8"/>
        <v>0.64132827433050377</v>
      </c>
      <c r="AK23" s="64"/>
      <c r="AL23" s="64"/>
      <c r="AM23" s="65"/>
      <c r="AN23" s="46"/>
      <c r="AO23" s="46"/>
      <c r="AP23" s="66"/>
      <c r="AQ23" s="60">
        <v>110997</v>
      </c>
      <c r="AR23" s="61">
        <v>18</v>
      </c>
      <c r="AS23" s="62">
        <f t="shared" si="16"/>
        <v>16.216654504175789</v>
      </c>
      <c r="AT23" s="63">
        <f t="shared" si="17"/>
        <v>2.7860387699641858</v>
      </c>
      <c r="AU23" s="70"/>
      <c r="AV23" s="70"/>
      <c r="AW23" s="71"/>
      <c r="AX23" s="46"/>
      <c r="AY23" s="46"/>
      <c r="AZ23" s="66"/>
      <c r="BA23" s="60">
        <v>53911</v>
      </c>
      <c r="BB23" s="61">
        <v>139</v>
      </c>
      <c r="BC23" s="62">
        <f t="shared" si="9"/>
        <v>257.83235332306947</v>
      </c>
      <c r="BD23" s="63">
        <f t="shared" si="10"/>
        <v>5.5523095803930023</v>
      </c>
      <c r="BE23" s="70"/>
      <c r="BF23" s="70"/>
      <c r="BG23" s="71"/>
      <c r="BH23" s="46"/>
      <c r="BI23" s="46"/>
      <c r="BJ23" s="66"/>
      <c r="BK23" s="60">
        <v>210063</v>
      </c>
      <c r="BL23" s="61">
        <v>5</v>
      </c>
      <c r="BM23" s="69">
        <f t="shared" si="19"/>
        <v>2.3802383094595432</v>
      </c>
      <c r="BN23" s="63">
        <f t="shared" si="0"/>
        <v>0.86720061269572513</v>
      </c>
      <c r="BO23" s="70"/>
      <c r="BP23" s="70"/>
      <c r="BQ23" s="71"/>
      <c r="BR23" s="46"/>
      <c r="BS23" s="46"/>
      <c r="BT23" s="66"/>
      <c r="BU23" s="60">
        <v>103457</v>
      </c>
      <c r="BV23" s="61">
        <v>27</v>
      </c>
      <c r="BW23" s="69">
        <f t="shared" si="12"/>
        <v>26.09779908561045</v>
      </c>
      <c r="BX23" s="63">
        <f t="shared" si="13"/>
        <v>3.2618509845511703</v>
      </c>
      <c r="BY23" s="70"/>
      <c r="BZ23" s="70"/>
      <c r="CA23" s="71"/>
      <c r="CB23" s="46"/>
      <c r="CC23" s="46"/>
      <c r="CD23" s="66"/>
      <c r="CE23" s="60">
        <v>40607</v>
      </c>
      <c r="CF23" s="61">
        <v>68</v>
      </c>
      <c r="CG23" s="69">
        <f t="shared" si="14"/>
        <v>167.45881252000888</v>
      </c>
      <c r="CH23" s="63">
        <f t="shared" si="15"/>
        <v>5.1207374256249576</v>
      </c>
      <c r="CI23" s="70"/>
      <c r="CJ23" s="70"/>
      <c r="CK23" s="71"/>
      <c r="CL23" s="46"/>
      <c r="CM23" s="46"/>
      <c r="CN23" s="66"/>
    </row>
    <row r="24" spans="1:92" ht="15.6" thickTop="1" thickBot="1" x14ac:dyDescent="0.35">
      <c r="A24" s="50">
        <v>2018</v>
      </c>
      <c r="B24" s="51"/>
      <c r="C24" s="52">
        <v>8339467</v>
      </c>
      <c r="D24" s="50">
        <v>210</v>
      </c>
      <c r="E24" s="26">
        <f t="shared" si="1"/>
        <v>2.5181465434181827</v>
      </c>
      <c r="F24" s="53">
        <f t="shared" si="2"/>
        <v>0.92352313226792837</v>
      </c>
      <c r="G24" s="54"/>
      <c r="H24" s="54"/>
      <c r="I24" s="55"/>
      <c r="J24" s="30"/>
      <c r="K24" s="30"/>
      <c r="L24" s="56"/>
      <c r="M24" s="52">
        <v>4145850</v>
      </c>
      <c r="N24" s="50">
        <v>126</v>
      </c>
      <c r="O24" s="57">
        <f t="shared" si="3"/>
        <v>3.0391837620753281</v>
      </c>
      <c r="P24" s="53">
        <f t="shared" si="4"/>
        <v>1.1115889800484089</v>
      </c>
      <c r="Q24" s="58"/>
      <c r="R24" s="58"/>
      <c r="S24" s="59"/>
      <c r="T24" s="30"/>
      <c r="U24" s="30"/>
      <c r="V24" s="56"/>
      <c r="W24" s="52">
        <v>4193617</v>
      </c>
      <c r="X24" s="50">
        <v>84</v>
      </c>
      <c r="Y24" s="57">
        <f t="shared" si="5"/>
        <v>2.0030441501930194</v>
      </c>
      <c r="Z24" s="53">
        <f t="shared" si="6"/>
        <v>0.69466809847421862</v>
      </c>
      <c r="AA24" s="58"/>
      <c r="AB24" s="58"/>
      <c r="AC24" s="59"/>
      <c r="AD24" s="30"/>
      <c r="AE24" s="30"/>
      <c r="AF24" s="56"/>
      <c r="AG24" s="60">
        <v>220834</v>
      </c>
      <c r="AH24" s="61">
        <v>6</v>
      </c>
      <c r="AI24" s="62">
        <f t="shared" si="7"/>
        <v>2.7169729298930418</v>
      </c>
      <c r="AJ24" s="63">
        <f t="shared" si="8"/>
        <v>0.99951836716051101</v>
      </c>
      <c r="AK24" s="64"/>
      <c r="AL24" s="64"/>
      <c r="AM24" s="65"/>
      <c r="AN24" s="46"/>
      <c r="AO24" s="46"/>
      <c r="AP24" s="66"/>
      <c r="AQ24" s="60">
        <v>115491</v>
      </c>
      <c r="AR24" s="61">
        <v>22</v>
      </c>
      <c r="AS24" s="62">
        <f t="shared" si="16"/>
        <v>19.049103393338012</v>
      </c>
      <c r="AT24" s="63">
        <f t="shared" si="17"/>
        <v>2.9470200344985642</v>
      </c>
      <c r="AU24" s="70"/>
      <c r="AV24" s="70"/>
      <c r="AW24" s="71"/>
      <c r="AX24" s="46"/>
      <c r="AY24" s="46"/>
      <c r="AZ24" s="66"/>
      <c r="BA24" s="60">
        <v>56411</v>
      </c>
      <c r="BB24" s="61">
        <v>97</v>
      </c>
      <c r="BC24" s="62">
        <f t="shared" si="9"/>
        <v>171.95227881087021</v>
      </c>
      <c r="BD24" s="63">
        <f t="shared" si="10"/>
        <v>5.147216989543411</v>
      </c>
      <c r="BE24" s="70"/>
      <c r="BF24" s="70"/>
      <c r="BG24" s="71"/>
      <c r="BH24" s="46"/>
      <c r="BI24" s="46"/>
      <c r="BJ24" s="66"/>
      <c r="BK24" s="60">
        <v>219560</v>
      </c>
      <c r="BL24" s="61">
        <v>4</v>
      </c>
      <c r="BM24" s="69">
        <f t="shared" si="19"/>
        <v>1.8218254691200582</v>
      </c>
      <c r="BN24" s="63">
        <f t="shared" si="0"/>
        <v>0.59983900342629348</v>
      </c>
      <c r="BO24" s="70"/>
      <c r="BP24" s="70"/>
      <c r="BQ24" s="71"/>
      <c r="BR24" s="46"/>
      <c r="BS24" s="46"/>
      <c r="BT24" s="66"/>
      <c r="BU24" s="60">
        <v>107648</v>
      </c>
      <c r="BV24" s="61">
        <v>22</v>
      </c>
      <c r="BW24" s="69">
        <f t="shared" si="12"/>
        <v>20.436979785969083</v>
      </c>
      <c r="BX24" s="63">
        <f t="shared" si="13"/>
        <v>3.0173459944359791</v>
      </c>
      <c r="BY24" s="70"/>
      <c r="BZ24" s="70"/>
      <c r="CA24" s="71"/>
      <c r="CB24" s="46"/>
      <c r="CC24" s="46"/>
      <c r="CD24" s="66"/>
      <c r="CE24" s="60">
        <v>42556</v>
      </c>
      <c r="CF24" s="61">
        <v>58</v>
      </c>
      <c r="CG24" s="69">
        <f t="shared" si="14"/>
        <v>136.29100479368361</v>
      </c>
      <c r="CH24" s="63">
        <f t="shared" si="15"/>
        <v>4.9147923408803909</v>
      </c>
      <c r="CI24" s="70"/>
      <c r="CJ24" s="70"/>
      <c r="CK24" s="71"/>
      <c r="CL24" s="46"/>
      <c r="CM24" s="46"/>
      <c r="CN24" s="66"/>
    </row>
    <row r="25" spans="1:92" ht="15.6" thickTop="1" thickBot="1" x14ac:dyDescent="0.35">
      <c r="A25" s="50">
        <v>2019</v>
      </c>
      <c r="B25" s="51"/>
      <c r="C25" s="52">
        <v>8404430</v>
      </c>
      <c r="D25" s="50">
        <v>257</v>
      </c>
      <c r="E25" s="26">
        <f t="shared" si="1"/>
        <v>3.0579111254421774</v>
      </c>
      <c r="F25" s="53">
        <f t="shared" si="2"/>
        <v>1.1177320441159855</v>
      </c>
      <c r="G25" s="54"/>
      <c r="H25" s="54"/>
      <c r="I25" s="55"/>
      <c r="J25" s="30"/>
      <c r="K25" s="30"/>
      <c r="L25" s="56"/>
      <c r="M25" s="52">
        <v>4178794</v>
      </c>
      <c r="N25" s="50">
        <v>164</v>
      </c>
      <c r="O25" s="57">
        <f t="shared" si="3"/>
        <v>3.9245772823450973</v>
      </c>
      <c r="P25" s="53">
        <f t="shared" si="4"/>
        <v>1.367258646668863</v>
      </c>
      <c r="Q25" s="58"/>
      <c r="R25" s="58"/>
      <c r="S25" s="59"/>
      <c r="T25" s="30"/>
      <c r="U25" s="30"/>
      <c r="V25" s="56"/>
      <c r="W25" s="52">
        <v>4225636</v>
      </c>
      <c r="X25" s="50">
        <v>93</v>
      </c>
      <c r="Y25" s="57">
        <f t="shared" si="5"/>
        <v>2.2008521320814189</v>
      </c>
      <c r="Z25" s="53">
        <f t="shared" si="6"/>
        <v>0.78884461813458084</v>
      </c>
      <c r="AA25" s="58"/>
      <c r="AB25" s="58"/>
      <c r="AC25" s="59"/>
      <c r="AD25" s="30"/>
      <c r="AE25" s="30"/>
      <c r="AF25" s="56"/>
      <c r="AG25" s="60">
        <v>231140</v>
      </c>
      <c r="AH25" s="61">
        <v>8</v>
      </c>
      <c r="AI25" s="62">
        <f t="shared" si="7"/>
        <v>3.4611058233105476</v>
      </c>
      <c r="AJ25" s="63">
        <f t="shared" si="8"/>
        <v>1.2415881401206319</v>
      </c>
      <c r="AK25" s="64"/>
      <c r="AL25" s="64"/>
      <c r="AM25" s="65"/>
      <c r="AN25" s="46"/>
      <c r="AO25" s="46"/>
      <c r="AP25" s="66"/>
      <c r="AQ25" s="60">
        <v>120401</v>
      </c>
      <c r="AR25" s="61">
        <v>32</v>
      </c>
      <c r="AS25" s="62">
        <f t="shared" si="16"/>
        <v>26.577852343419075</v>
      </c>
      <c r="AT25" s="63">
        <f t="shared" si="17"/>
        <v>3.2800782502997485</v>
      </c>
      <c r="AU25" s="70"/>
      <c r="AV25" s="70"/>
      <c r="AW25" s="71"/>
      <c r="AX25" s="46"/>
      <c r="AY25" s="46"/>
      <c r="AZ25" s="66"/>
      <c r="BA25" s="60">
        <v>58972</v>
      </c>
      <c r="BB25" s="61">
        <v>124</v>
      </c>
      <c r="BC25" s="62">
        <f t="shared" si="9"/>
        <v>210.26928033643085</v>
      </c>
      <c r="BD25" s="63">
        <f t="shared" si="10"/>
        <v>5.3483889966055553</v>
      </c>
      <c r="BE25" s="70"/>
      <c r="BF25" s="70"/>
      <c r="BG25" s="71"/>
      <c r="BH25" s="46"/>
      <c r="BI25" s="46"/>
      <c r="BJ25" s="66"/>
      <c r="BK25" s="60">
        <v>228973</v>
      </c>
      <c r="BL25" s="61">
        <v>7</v>
      </c>
      <c r="BM25" s="69">
        <f t="shared" si="19"/>
        <v>3.057129006476746</v>
      </c>
      <c r="BN25" s="63">
        <f t="shared" si="0"/>
        <v>1.1174762423705107</v>
      </c>
      <c r="BO25" s="70"/>
      <c r="BP25" s="70"/>
      <c r="BQ25" s="71"/>
      <c r="BR25" s="46"/>
      <c r="BS25" s="46"/>
      <c r="BT25" s="66"/>
      <c r="BU25" s="60">
        <v>112137</v>
      </c>
      <c r="BV25" s="61">
        <v>28</v>
      </c>
      <c r="BW25" s="69">
        <f t="shared" si="12"/>
        <v>24.969457003486806</v>
      </c>
      <c r="BX25" s="63">
        <f t="shared" si="13"/>
        <v>3.2176533580995605</v>
      </c>
      <c r="BY25" s="70"/>
      <c r="BZ25" s="70"/>
      <c r="CA25" s="71"/>
      <c r="CB25" s="46"/>
      <c r="CC25" s="46"/>
      <c r="CD25" s="66"/>
      <c r="CE25" s="60">
        <v>44564</v>
      </c>
      <c r="CF25" s="61">
        <v>58</v>
      </c>
      <c r="CG25" s="69">
        <f t="shared" si="14"/>
        <v>130.14989677766806</v>
      </c>
      <c r="CH25" s="63">
        <f t="shared" si="15"/>
        <v>4.8686868383374406</v>
      </c>
      <c r="CI25" s="70"/>
      <c r="CJ25" s="70"/>
      <c r="CK25" s="71"/>
      <c r="CL25" s="46"/>
      <c r="CM25" s="46"/>
      <c r="CN25" s="66"/>
    </row>
    <row r="26" spans="1:92" ht="15.6" thickTop="1" thickBot="1" x14ac:dyDescent="0.35">
      <c r="A26" s="50">
        <v>2020</v>
      </c>
      <c r="B26" s="51"/>
      <c r="C26" s="52">
        <v>8465192</v>
      </c>
      <c r="D26" s="50">
        <v>356</v>
      </c>
      <c r="E26" s="26">
        <f t="shared" si="1"/>
        <v>4.2054568874515779</v>
      </c>
      <c r="F26" s="53">
        <f t="shared" si="2"/>
        <v>1.4363829408998681</v>
      </c>
      <c r="G26" s="54"/>
      <c r="H26" s="54"/>
      <c r="I26" s="55"/>
      <c r="J26" s="30"/>
      <c r="K26" s="30"/>
      <c r="L26" s="56"/>
      <c r="M26" s="52">
        <v>4210629</v>
      </c>
      <c r="N26" s="50">
        <v>233</v>
      </c>
      <c r="O26" s="57">
        <f t="shared" si="3"/>
        <v>5.5336150489629929</v>
      </c>
      <c r="P26" s="53">
        <f t="shared" si="4"/>
        <v>1.7108413178615838</v>
      </c>
      <c r="Q26" s="58"/>
      <c r="R26" s="58"/>
      <c r="S26" s="59"/>
      <c r="T26" s="30"/>
      <c r="U26" s="30"/>
      <c r="V26" s="56"/>
      <c r="W26" s="52">
        <v>4254563</v>
      </c>
      <c r="X26" s="50">
        <v>123</v>
      </c>
      <c r="Y26" s="57">
        <f t="shared" si="5"/>
        <v>2.8910137186827414</v>
      </c>
      <c r="Z26" s="53">
        <f t="shared" si="6"/>
        <v>1.0616072083300208</v>
      </c>
      <c r="AA26" s="58"/>
      <c r="AB26" s="58"/>
      <c r="AC26" s="59"/>
      <c r="AD26" s="30"/>
      <c r="AE26" s="30"/>
      <c r="AF26" s="56"/>
      <c r="AG26" s="60">
        <v>241051</v>
      </c>
      <c r="AH26" s="61">
        <v>6</v>
      </c>
      <c r="AI26" s="62">
        <f t="shared" si="7"/>
        <v>2.4890998170511636</v>
      </c>
      <c r="AJ26" s="63">
        <f t="shared" si="8"/>
        <v>0.91192112585621499</v>
      </c>
      <c r="AK26" s="64"/>
      <c r="AL26" s="64"/>
      <c r="AM26" s="65"/>
      <c r="AN26" s="46"/>
      <c r="AO26" s="46"/>
      <c r="AP26" s="66"/>
      <c r="AQ26" s="60">
        <v>125534</v>
      </c>
      <c r="AR26" s="61">
        <v>32</v>
      </c>
      <c r="AS26" s="62">
        <f t="shared" si="16"/>
        <v>25.491102012203868</v>
      </c>
      <c r="AT26" s="63">
        <f t="shared" si="17"/>
        <v>3.2383294505725218</v>
      </c>
      <c r="AU26" s="70"/>
      <c r="AV26" s="70"/>
      <c r="AW26" s="71"/>
      <c r="AX26" s="46"/>
      <c r="AY26" s="46"/>
      <c r="AZ26" s="66"/>
      <c r="BA26" s="60">
        <v>61098</v>
      </c>
      <c r="BB26" s="61">
        <v>194</v>
      </c>
      <c r="BC26" s="62">
        <f t="shared" si="9"/>
        <v>317.52266849978724</v>
      </c>
      <c r="BD26" s="63">
        <f t="shared" si="10"/>
        <v>5.760549212633836</v>
      </c>
      <c r="BE26" s="70"/>
      <c r="BF26" s="70"/>
      <c r="BG26" s="71"/>
      <c r="BH26" s="46"/>
      <c r="BI26" s="46"/>
      <c r="BJ26" s="66"/>
      <c r="BK26" s="60">
        <v>237375</v>
      </c>
      <c r="BL26" s="61">
        <v>4</v>
      </c>
      <c r="BM26" s="69">
        <f t="shared" si="19"/>
        <v>1.6850974196945763</v>
      </c>
      <c r="BN26" s="63">
        <f t="shared" si="0"/>
        <v>0.52182337797553213</v>
      </c>
      <c r="BO26" s="70"/>
      <c r="BP26" s="70"/>
      <c r="BQ26" s="71"/>
      <c r="BR26" s="46"/>
      <c r="BS26" s="46"/>
      <c r="BT26" s="66"/>
      <c r="BU26" s="60">
        <v>116148</v>
      </c>
      <c r="BV26" s="61">
        <v>35</v>
      </c>
      <c r="BW26" s="69">
        <f t="shared" si="12"/>
        <v>30.13396700761098</v>
      </c>
      <c r="BX26" s="63">
        <f t="shared" si="13"/>
        <v>3.4056530075225533</v>
      </c>
      <c r="BY26" s="70"/>
      <c r="BZ26" s="70"/>
      <c r="CA26" s="71"/>
      <c r="CB26" s="46"/>
      <c r="CC26" s="46"/>
      <c r="CD26" s="66"/>
      <c r="CE26" s="60">
        <v>45899</v>
      </c>
      <c r="CF26" s="61">
        <v>81</v>
      </c>
      <c r="CG26" s="69">
        <f t="shared" si="14"/>
        <v>176.47443299418288</v>
      </c>
      <c r="CH26" s="63">
        <f t="shared" si="15"/>
        <v>5.1731760103237345</v>
      </c>
      <c r="CI26" s="70"/>
      <c r="CJ26" s="70"/>
      <c r="CK26" s="71"/>
      <c r="CL26" s="46"/>
      <c r="CM26" s="46"/>
      <c r="CN26" s="66"/>
    </row>
    <row r="27" spans="1:92" ht="15.6" thickTop="1" thickBot="1" x14ac:dyDescent="0.35">
      <c r="A27" s="50">
        <v>2021</v>
      </c>
      <c r="B27" s="51"/>
      <c r="C27" s="52">
        <v>8520153</v>
      </c>
      <c r="D27" s="50">
        <v>352</v>
      </c>
      <c r="E27" s="26">
        <f t="shared" si="1"/>
        <v>4.1313812087646786</v>
      </c>
      <c r="F27" s="53">
        <f t="shared" si="2"/>
        <v>1.4186117841775867</v>
      </c>
      <c r="G27" s="54"/>
      <c r="H27" s="54"/>
      <c r="I27" s="55"/>
      <c r="J27" s="30"/>
      <c r="K27" s="30"/>
      <c r="L27" s="56"/>
      <c r="M27" s="52">
        <v>4239966</v>
      </c>
      <c r="N27" s="50">
        <v>210</v>
      </c>
      <c r="O27" s="57">
        <f t="shared" si="3"/>
        <v>4.9528699050888614</v>
      </c>
      <c r="P27" s="53">
        <f t="shared" si="4"/>
        <v>1.5999671873796324</v>
      </c>
      <c r="Q27" s="58"/>
      <c r="R27" s="58"/>
      <c r="S27" s="59"/>
      <c r="T27" s="30"/>
      <c r="U27" s="30"/>
      <c r="V27" s="56"/>
      <c r="W27" s="52">
        <v>4280187</v>
      </c>
      <c r="X27" s="50">
        <v>142</v>
      </c>
      <c r="Y27" s="57">
        <f t="shared" si="5"/>
        <v>3.3176120576040251</v>
      </c>
      <c r="Z27" s="53">
        <f t="shared" si="6"/>
        <v>1.1992452643791742</v>
      </c>
      <c r="AA27" s="58"/>
      <c r="AB27" s="58"/>
      <c r="AC27" s="59"/>
      <c r="AD27" s="30"/>
      <c r="AE27" s="30"/>
      <c r="AF27" s="56"/>
      <c r="AG27" s="60">
        <v>250346</v>
      </c>
      <c r="AH27" s="61">
        <v>6</v>
      </c>
      <c r="AI27" s="62">
        <f t="shared" si="7"/>
        <v>2.3966829907408145</v>
      </c>
      <c r="AJ27" s="63">
        <f t="shared" si="8"/>
        <v>0.87408569419915239</v>
      </c>
      <c r="AK27" s="64"/>
      <c r="AL27" s="64"/>
      <c r="AM27" s="65"/>
      <c r="AN27" s="49"/>
      <c r="AO27" s="49"/>
      <c r="AP27" s="66"/>
      <c r="AQ27" s="60">
        <v>130848</v>
      </c>
      <c r="AR27" s="61">
        <v>38</v>
      </c>
      <c r="AS27" s="62">
        <f t="shared" si="16"/>
        <v>29.041330398630471</v>
      </c>
      <c r="AT27" s="63">
        <f t="shared" si="17"/>
        <v>3.3687200015322452</v>
      </c>
      <c r="AU27" s="70"/>
      <c r="AV27" s="70"/>
      <c r="AW27" s="71"/>
      <c r="AX27" s="49"/>
      <c r="AY27" s="49"/>
      <c r="AZ27" s="66"/>
      <c r="BA27" s="60">
        <v>62757</v>
      </c>
      <c r="BB27" s="61">
        <v>165</v>
      </c>
      <c r="BC27" s="62">
        <f t="shared" si="9"/>
        <v>262.91887757540991</v>
      </c>
      <c r="BD27" s="63">
        <f t="shared" si="10"/>
        <v>5.5718455343135789</v>
      </c>
      <c r="BE27" s="70"/>
      <c r="BF27" s="70"/>
      <c r="BG27" s="71"/>
      <c r="BH27" s="49"/>
      <c r="BI27" s="49"/>
      <c r="BJ27" s="66"/>
      <c r="BK27" s="60">
        <v>244852</v>
      </c>
      <c r="BL27" s="61">
        <v>8</v>
      </c>
      <c r="BM27" s="69">
        <f t="shared" si="19"/>
        <v>3.2672798261807134</v>
      </c>
      <c r="BN27" s="63">
        <f t="shared" si="0"/>
        <v>1.1839577812866755</v>
      </c>
      <c r="BO27" s="70"/>
      <c r="BP27" s="70"/>
      <c r="BQ27" s="71"/>
      <c r="BR27" s="49"/>
      <c r="BS27" s="49"/>
      <c r="BT27" s="66"/>
      <c r="BU27" s="60">
        <v>119850</v>
      </c>
      <c r="BV27" s="61">
        <v>34</v>
      </c>
      <c r="BW27" s="69">
        <f t="shared" si="12"/>
        <v>28.368794326241133</v>
      </c>
      <c r="BX27" s="63">
        <f t="shared" si="13"/>
        <v>3.3452897497238592</v>
      </c>
      <c r="BY27" s="70"/>
      <c r="BZ27" s="70"/>
      <c r="CA27" s="71"/>
      <c r="CB27" s="49"/>
      <c r="CC27" s="49"/>
      <c r="CD27" s="66"/>
      <c r="CE27" s="60">
        <v>46726</v>
      </c>
      <c r="CF27" s="61">
        <v>96</v>
      </c>
      <c r="CG27" s="69">
        <f t="shared" si="14"/>
        <v>205.45306681504943</v>
      </c>
      <c r="CH27" s="63">
        <f t="shared" si="15"/>
        <v>5.3252176225241623</v>
      </c>
      <c r="CI27" s="70"/>
      <c r="CJ27" s="70"/>
      <c r="CK27" s="71"/>
      <c r="CL27" s="49"/>
      <c r="CM27" s="49"/>
      <c r="CN27" s="66"/>
    </row>
    <row r="28" spans="1:92" ht="15.6" thickTop="1" thickBot="1" x14ac:dyDescent="0.35">
      <c r="A28" s="23">
        <v>2016</v>
      </c>
      <c r="B28" s="24" t="s">
        <v>29</v>
      </c>
      <c r="C28" s="25">
        <v>1680084</v>
      </c>
      <c r="D28" s="23">
        <v>60</v>
      </c>
      <c r="E28" s="26">
        <f t="shared" si="1"/>
        <v>3.5712500089281249</v>
      </c>
      <c r="F28" s="27">
        <f t="shared" si="2"/>
        <v>1.2729156770628458</v>
      </c>
      <c r="G28" s="28">
        <v>6.4600000000000005E-2</v>
      </c>
      <c r="H28" s="28">
        <v>0.29970000000000002</v>
      </c>
      <c r="I28" s="29">
        <v>0.151</v>
      </c>
      <c r="J28" s="30">
        <f>(EXP(-0.037)-1)*100</f>
        <v>-3.6323864650946502</v>
      </c>
      <c r="K28" s="30">
        <f>(EXP(0.166)-1)*100</f>
        <v>18.057310172327611</v>
      </c>
      <c r="L28" s="30">
        <f>(EXP(G28)-1)*100</f>
        <v>6.6732246135779105</v>
      </c>
      <c r="M28" s="25">
        <v>830690</v>
      </c>
      <c r="N28" s="23">
        <v>30</v>
      </c>
      <c r="O28" s="26">
        <f t="shared" si="3"/>
        <v>3.6114555369632471</v>
      </c>
      <c r="P28" s="27">
        <f t="shared" si="4"/>
        <v>1.2841108869178857</v>
      </c>
      <c r="Q28" s="31">
        <v>9.7699999999999995E-2</v>
      </c>
      <c r="R28" s="31">
        <v>0.22889999999999999</v>
      </c>
      <c r="S28" s="32">
        <v>0.19</v>
      </c>
      <c r="T28" s="30">
        <f>(EXP(-0.074)-1)*100</f>
        <v>-7.1328306158712778</v>
      </c>
      <c r="U28" s="30">
        <f>(EXP(0.27)-1)*100</f>
        <v>30.996445073324729</v>
      </c>
      <c r="V28" s="30">
        <f t="shared" ref="V28" si="24">(EXP(Q28)-1)*100</f>
        <v>10.263194590133761</v>
      </c>
      <c r="W28" s="25">
        <v>849394</v>
      </c>
      <c r="X28" s="23">
        <v>30</v>
      </c>
      <c r="Y28" s="26">
        <f t="shared" si="5"/>
        <v>3.531929822909039</v>
      </c>
      <c r="Z28" s="27">
        <f t="shared" si="6"/>
        <v>1.2618444136057729</v>
      </c>
      <c r="AA28" s="31">
        <v>2.4899999999999999E-2</v>
      </c>
      <c r="AB28" s="31">
        <v>-0.16689999999999999</v>
      </c>
      <c r="AC28" s="32">
        <v>0.62180000000000002</v>
      </c>
      <c r="AD28" s="30">
        <f>(EXP(-0.104)-1)*100</f>
        <v>-9.8774702578795175</v>
      </c>
      <c r="AE28" s="30">
        <f>(EXP(0.154)-1)*100</f>
        <v>16.64908867784396</v>
      </c>
      <c r="AF28" s="72">
        <f>(EXP(AA28)-1)*100</f>
        <v>2.5212594138781075</v>
      </c>
      <c r="AG28" s="33">
        <v>44588</v>
      </c>
      <c r="AH28" s="34">
        <v>0.01</v>
      </c>
      <c r="AI28" s="41">
        <f t="shared" si="7"/>
        <v>2.242755898448013E-2</v>
      </c>
      <c r="AJ28" s="36">
        <f t="shared" si="8"/>
        <v>-3.7974647645273771</v>
      </c>
      <c r="AK28" s="37">
        <v>1.2508999999999999</v>
      </c>
      <c r="AL28" s="37">
        <v>0.66</v>
      </c>
      <c r="AM28" s="38">
        <v>3.0700000000000002E-2</v>
      </c>
      <c r="AN28" s="39">
        <f>(EXP(0.19) - 1) * 100</f>
        <v>20.924959765725148</v>
      </c>
      <c r="AO28" s="39">
        <f>(EXP(2.312) - 1) * 100</f>
        <v>909.45936666122066</v>
      </c>
      <c r="AP28" s="40">
        <f>(EXP(AK28)-1)*100</f>
        <v>249.34856801366269</v>
      </c>
      <c r="AQ28" s="33">
        <v>21143</v>
      </c>
      <c r="AR28" s="34">
        <v>11</v>
      </c>
      <c r="AS28" s="41">
        <f t="shared" si="16"/>
        <v>52.026675495435839</v>
      </c>
      <c r="AT28" s="36">
        <f t="shared" si="17"/>
        <v>3.9517565773437302</v>
      </c>
      <c r="AU28" s="42">
        <v>6.6E-3</v>
      </c>
      <c r="AV28" s="42">
        <v>-0.24829999999999999</v>
      </c>
      <c r="AW28" s="43">
        <v>0.94540000000000002</v>
      </c>
      <c r="AX28" s="39">
        <f>(EXP(-0.244) - 1) * 100</f>
        <v>-21.651236573713749</v>
      </c>
      <c r="AY28" s="39">
        <f>(EXP(0.257) - 1) * 100</f>
        <v>29.304512675935367</v>
      </c>
      <c r="AZ28" s="73">
        <f>(EXP(AU28)-1)*100</f>
        <v>0.66218279951659742</v>
      </c>
      <c r="BA28" s="33">
        <v>8550</v>
      </c>
      <c r="BB28" s="34">
        <v>19</v>
      </c>
      <c r="BC28" s="41">
        <f t="shared" si="9"/>
        <v>222.22222222222223</v>
      </c>
      <c r="BD28" s="36">
        <f t="shared" si="10"/>
        <v>5.4036778822058631</v>
      </c>
      <c r="BE28" s="42">
        <v>5.4300000000000001E-2</v>
      </c>
      <c r="BF28" s="42">
        <v>-4.0300000000000002E-2</v>
      </c>
      <c r="BG28" s="43">
        <v>0.4199</v>
      </c>
      <c r="BH28" s="39">
        <f>(EXP(-0.114) - 1) * 100</f>
        <v>-10.77420441175917</v>
      </c>
      <c r="BI28" s="39">
        <f>(EXP(0.222) - 1) * 100</f>
        <v>24.857137786428353</v>
      </c>
      <c r="BJ28" s="73">
        <f>(EXP(BE28)-1)*100</f>
        <v>5.5801295037283705</v>
      </c>
      <c r="BK28" s="33">
        <v>46777</v>
      </c>
      <c r="BL28" s="34">
        <v>4</v>
      </c>
      <c r="BM28" s="45">
        <f t="shared" si="19"/>
        <v>8.5512110652671183</v>
      </c>
      <c r="BN28" s="36">
        <f t="shared" si="0"/>
        <v>2.1460729179784361</v>
      </c>
      <c r="BO28" s="42">
        <v>-5.4000000000000003E-3</v>
      </c>
      <c r="BP28" s="42">
        <v>-0.24959999999999999</v>
      </c>
      <c r="BQ28" s="43">
        <v>0.97299999999999998</v>
      </c>
      <c r="BR28" s="39">
        <f>(EXP(-0.424) - 1) * 100</f>
        <v>-34.557611809114142</v>
      </c>
      <c r="BS28" s="39">
        <f>(EXP(0.413) - 1) * 100</f>
        <v>51.134502593399375</v>
      </c>
      <c r="BT28" s="40">
        <f>(EXP(BO28)-1)*100</f>
        <v>-0.53854462086088128</v>
      </c>
      <c r="BU28" s="33">
        <v>22338</v>
      </c>
      <c r="BV28" s="34">
        <v>9</v>
      </c>
      <c r="BW28" s="45">
        <f t="shared" si="12"/>
        <v>40.290088638195002</v>
      </c>
      <c r="BX28" s="36">
        <f>LN(BW28)</f>
        <v>3.6961054992056757</v>
      </c>
      <c r="BY28" s="42">
        <v>3.5099999999999999E-2</v>
      </c>
      <c r="BZ28" s="42">
        <v>-0.20849999999999999</v>
      </c>
      <c r="CA28" s="43">
        <v>0.72970000000000002</v>
      </c>
      <c r="CB28" s="39">
        <f>(EXP(-0.228) - 1) * 100</f>
        <v>-20.387574016454625</v>
      </c>
      <c r="CC28" s="39">
        <f>(EXP(0.298) - 1) * 100</f>
        <v>34.716178787955407</v>
      </c>
      <c r="CD28" s="73">
        <f>(EXP(BY28)-1)*100</f>
        <v>3.5723275948774447</v>
      </c>
      <c r="CE28" s="33">
        <v>8518</v>
      </c>
      <c r="CF28" s="34">
        <v>17</v>
      </c>
      <c r="CG28" s="45">
        <f t="shared" si="14"/>
        <v>199.57736557877436</v>
      </c>
      <c r="CH28" s="36">
        <f t="shared" si="15"/>
        <v>5.2962019585432856</v>
      </c>
      <c r="CI28" s="42">
        <v>-2.0899999999999998E-2</v>
      </c>
      <c r="CJ28" s="42">
        <v>-0.21790000000000001</v>
      </c>
      <c r="CK28" s="43">
        <v>0.76180000000000003</v>
      </c>
      <c r="CL28" s="39">
        <f>(EXP(-0.199) - 1) * 100</f>
        <v>-18.045010666707441</v>
      </c>
      <c r="CM28" s="39">
        <f>(EXP(0.158) - 1) * 100</f>
        <v>17.116619470766949</v>
      </c>
      <c r="CN28" s="40">
        <f t="shared" ref="CN28" si="25">(EXP(CI28)-1)*100</f>
        <v>-2.0683108637825409</v>
      </c>
    </row>
    <row r="29" spans="1:92" ht="15.6" thickTop="1" thickBot="1" x14ac:dyDescent="0.35">
      <c r="A29" s="23">
        <v>2017</v>
      </c>
      <c r="B29" s="24"/>
      <c r="C29" s="25">
        <v>1691568</v>
      </c>
      <c r="D29" s="23">
        <v>76</v>
      </c>
      <c r="E29" s="26">
        <f t="shared" si="1"/>
        <v>4.4928728848027388</v>
      </c>
      <c r="F29" s="27">
        <f t="shared" si="2"/>
        <v>1.5024923378566728</v>
      </c>
      <c r="G29" s="28"/>
      <c r="H29" s="28"/>
      <c r="I29" s="29"/>
      <c r="J29" s="30"/>
      <c r="K29" s="30"/>
      <c r="L29" s="30"/>
      <c r="M29" s="25">
        <v>836728</v>
      </c>
      <c r="N29" s="23">
        <v>41</v>
      </c>
      <c r="O29" s="26">
        <f t="shared" si="3"/>
        <v>4.9000392003136026</v>
      </c>
      <c r="P29" s="27">
        <f t="shared" si="4"/>
        <v>1.5892432051485812</v>
      </c>
      <c r="Q29" s="31"/>
      <c r="R29" s="31"/>
      <c r="S29" s="32"/>
      <c r="T29" s="30"/>
      <c r="U29" s="30"/>
      <c r="V29" s="30"/>
      <c r="W29" s="25">
        <v>854840</v>
      </c>
      <c r="X29" s="23">
        <v>35</v>
      </c>
      <c r="Y29" s="26">
        <f t="shared" si="5"/>
        <v>4.0943334425155582</v>
      </c>
      <c r="Z29" s="27">
        <f t="shared" si="6"/>
        <v>1.4096039305555146</v>
      </c>
      <c r="AA29" s="31"/>
      <c r="AB29" s="31"/>
      <c r="AC29" s="32"/>
      <c r="AD29" s="30"/>
      <c r="AE29" s="30"/>
      <c r="AF29" s="72"/>
      <c r="AG29" s="33">
        <v>47137</v>
      </c>
      <c r="AH29" s="34">
        <v>0.01</v>
      </c>
      <c r="AI29" s="41">
        <f t="shared" si="7"/>
        <v>2.1214756984958737E-2</v>
      </c>
      <c r="AJ29" s="36">
        <f>LN(AI29)</f>
        <v>-3.853058255262241</v>
      </c>
      <c r="AK29" s="37"/>
      <c r="AL29" s="37"/>
      <c r="AM29" s="38"/>
      <c r="AN29" s="46"/>
      <c r="AO29" s="46"/>
      <c r="AP29" s="40"/>
      <c r="AQ29" s="33">
        <v>22165</v>
      </c>
      <c r="AR29" s="34">
        <v>10</v>
      </c>
      <c r="AS29" s="41">
        <f t="shared" si="16"/>
        <v>45.116174148432215</v>
      </c>
      <c r="AT29" s="36">
        <f t="shared" si="17"/>
        <v>3.8092408107851203</v>
      </c>
      <c r="AU29" s="47"/>
      <c r="AV29" s="47"/>
      <c r="AW29" s="48"/>
      <c r="AX29" s="46"/>
      <c r="AY29" s="46"/>
      <c r="AZ29" s="74"/>
      <c r="BA29" s="33">
        <v>9080</v>
      </c>
      <c r="BB29" s="34">
        <v>31</v>
      </c>
      <c r="BC29" s="41">
        <f t="shared" si="9"/>
        <v>341.40969162995594</v>
      </c>
      <c r="BD29" s="36">
        <f t="shared" si="10"/>
        <v>5.8330831978600353</v>
      </c>
      <c r="BE29" s="47"/>
      <c r="BF29" s="47"/>
      <c r="BG29" s="48"/>
      <c r="BH29" s="46"/>
      <c r="BI29" s="46"/>
      <c r="BJ29" s="74"/>
      <c r="BK29" s="33">
        <v>49009</v>
      </c>
      <c r="BL29" s="34">
        <v>2</v>
      </c>
      <c r="BM29" s="45">
        <f t="shared" si="19"/>
        <v>4.0808831031035115</v>
      </c>
      <c r="BN29" s="36">
        <f t="shared" si="0"/>
        <v>1.4063134118339289</v>
      </c>
      <c r="BO29" s="47"/>
      <c r="BP29" s="47"/>
      <c r="BQ29" s="48"/>
      <c r="BR29" s="46"/>
      <c r="BS29" s="46"/>
      <c r="BT29" s="40"/>
      <c r="BU29" s="33">
        <v>23207</v>
      </c>
      <c r="BV29" s="34">
        <v>4</v>
      </c>
      <c r="BW29" s="45">
        <f t="shared" si="12"/>
        <v>17.236178739173525</v>
      </c>
      <c r="BX29" s="36">
        <f t="shared" si="13"/>
        <v>2.8470105898073603</v>
      </c>
      <c r="BY29" s="47"/>
      <c r="BZ29" s="47"/>
      <c r="CA29" s="48"/>
      <c r="CB29" s="46"/>
      <c r="CC29" s="46"/>
      <c r="CD29" s="74"/>
      <c r="CE29" s="33">
        <v>9011</v>
      </c>
      <c r="CF29" s="34">
        <v>29</v>
      </c>
      <c r="CG29" s="45">
        <f t="shared" si="14"/>
        <v>321.82887581844409</v>
      </c>
      <c r="CH29" s="36">
        <f t="shared" si="15"/>
        <v>5.7740199627216651</v>
      </c>
      <c r="CI29" s="47"/>
      <c r="CJ29" s="47"/>
      <c r="CK29" s="48"/>
      <c r="CL29" s="46"/>
      <c r="CM29" s="46"/>
      <c r="CN29" s="40"/>
    </row>
    <row r="30" spans="1:92" ht="15.6" thickTop="1" thickBot="1" x14ac:dyDescent="0.35">
      <c r="A30" s="23">
        <v>2018</v>
      </c>
      <c r="B30" s="24"/>
      <c r="C30" s="25">
        <v>1701892</v>
      </c>
      <c r="D30" s="23">
        <v>76</v>
      </c>
      <c r="E30" s="26">
        <f t="shared" si="1"/>
        <v>4.4656182648487688</v>
      </c>
      <c r="F30" s="27">
        <f>LN(E30)</f>
        <v>1.4964076739135483</v>
      </c>
      <c r="G30" s="28"/>
      <c r="H30" s="28"/>
      <c r="I30" s="29"/>
      <c r="J30" s="30"/>
      <c r="K30" s="30"/>
      <c r="L30" s="30"/>
      <c r="M30" s="25">
        <v>842204</v>
      </c>
      <c r="N30" s="23">
        <v>28</v>
      </c>
      <c r="O30" s="26">
        <f t="shared" si="3"/>
        <v>3.324610189455286</v>
      </c>
      <c r="P30" s="27">
        <f t="shared" si="4"/>
        <v>1.2013524309810613</v>
      </c>
      <c r="Q30" s="31"/>
      <c r="R30" s="31"/>
      <c r="S30" s="32"/>
      <c r="T30" s="30"/>
      <c r="U30" s="30"/>
      <c r="V30" s="30"/>
      <c r="W30" s="25">
        <v>859688</v>
      </c>
      <c r="X30" s="23">
        <v>48</v>
      </c>
      <c r="Y30" s="26">
        <f t="shared" si="5"/>
        <v>5.5834209620234319</v>
      </c>
      <c r="Z30" s="27">
        <f t="shared" si="6"/>
        <v>1.7198016641705693</v>
      </c>
      <c r="AA30" s="31"/>
      <c r="AB30" s="31"/>
      <c r="AC30" s="32"/>
      <c r="AD30" s="30"/>
      <c r="AE30" s="30"/>
      <c r="AF30" s="72"/>
      <c r="AG30" s="33">
        <v>49754</v>
      </c>
      <c r="AH30" s="34">
        <v>1</v>
      </c>
      <c r="AI30" s="41">
        <f t="shared" si="7"/>
        <v>2.0098886521686699</v>
      </c>
      <c r="AJ30" s="36">
        <f t="shared" si="8"/>
        <v>0.69807932360550773</v>
      </c>
      <c r="AK30" s="37"/>
      <c r="AL30" s="37"/>
      <c r="AM30" s="38"/>
      <c r="AN30" s="46"/>
      <c r="AO30" s="46"/>
      <c r="AP30" s="40"/>
      <c r="AQ30" s="33">
        <v>23280</v>
      </c>
      <c r="AR30" s="34">
        <v>6</v>
      </c>
      <c r="AS30" s="41">
        <f t="shared" si="16"/>
        <v>25.773195876288661</v>
      </c>
      <c r="AT30" s="36">
        <f t="shared" si="17"/>
        <v>3.2493350323529095</v>
      </c>
      <c r="AU30" s="47"/>
      <c r="AV30" s="47"/>
      <c r="AW30" s="48"/>
      <c r="AX30" s="46"/>
      <c r="AY30" s="46"/>
      <c r="AZ30" s="74"/>
      <c r="BA30" s="33">
        <v>9648</v>
      </c>
      <c r="BB30" s="34">
        <v>20</v>
      </c>
      <c r="BC30" s="41">
        <f t="shared" si="9"/>
        <v>207.29684908789386</v>
      </c>
      <c r="BD30" s="36">
        <f t="shared" si="10"/>
        <v>5.3341518195572526</v>
      </c>
      <c r="BE30" s="47"/>
      <c r="BF30" s="47"/>
      <c r="BG30" s="48"/>
      <c r="BH30" s="46"/>
      <c r="BI30" s="46"/>
      <c r="BJ30" s="74"/>
      <c r="BK30" s="33">
        <v>51347</v>
      </c>
      <c r="BL30" s="34">
        <v>2</v>
      </c>
      <c r="BM30" s="45">
        <f t="shared" si="19"/>
        <v>3.8950668977739693</v>
      </c>
      <c r="BN30" s="36">
        <f t="shared" si="0"/>
        <v>1.3597108544702037</v>
      </c>
      <c r="BO30" s="47"/>
      <c r="BP30" s="47"/>
      <c r="BQ30" s="48"/>
      <c r="BR30" s="46"/>
      <c r="BS30" s="46"/>
      <c r="BT30" s="40"/>
      <c r="BU30" s="33">
        <v>24138</v>
      </c>
      <c r="BV30" s="34">
        <v>11</v>
      </c>
      <c r="BW30" s="45">
        <f t="shared" si="12"/>
        <v>45.571298367718953</v>
      </c>
      <c r="BX30" s="36">
        <f t="shared" si="13"/>
        <v>3.819278096590756</v>
      </c>
      <c r="BY30" s="47"/>
      <c r="BZ30" s="47"/>
      <c r="CA30" s="48"/>
      <c r="CB30" s="46"/>
      <c r="CC30" s="46"/>
      <c r="CD30" s="74"/>
      <c r="CE30" s="33">
        <v>9529</v>
      </c>
      <c r="CF30" s="34">
        <v>35</v>
      </c>
      <c r="CG30" s="45">
        <f t="shared" si="14"/>
        <v>367.29982159722948</v>
      </c>
      <c r="CH30" s="36">
        <f t="shared" si="15"/>
        <v>5.9061784671114541</v>
      </c>
      <c r="CI30" s="47"/>
      <c r="CJ30" s="47"/>
      <c r="CK30" s="48"/>
      <c r="CL30" s="46"/>
      <c r="CM30" s="46"/>
      <c r="CN30" s="40"/>
    </row>
    <row r="31" spans="1:92" ht="15.6" thickTop="1" thickBot="1" x14ac:dyDescent="0.35">
      <c r="A31" s="23">
        <v>2019</v>
      </c>
      <c r="B31" s="24"/>
      <c r="C31" s="25">
        <v>1712560</v>
      </c>
      <c r="D31" s="23">
        <v>80</v>
      </c>
      <c r="E31" s="26">
        <f t="shared" si="1"/>
        <v>4.6713691783061613</v>
      </c>
      <c r="F31" s="27">
        <f t="shared" si="2"/>
        <v>1.5414522146430059</v>
      </c>
      <c r="G31" s="28"/>
      <c r="H31" s="28"/>
      <c r="I31" s="29"/>
      <c r="J31" s="30"/>
      <c r="K31" s="30"/>
      <c r="L31" s="30"/>
      <c r="M31" s="25">
        <v>847870</v>
      </c>
      <c r="N31" s="23">
        <v>47</v>
      </c>
      <c r="O31" s="26">
        <f t="shared" si="3"/>
        <v>5.5433026289407579</v>
      </c>
      <c r="P31" s="27">
        <f t="shared" si="4"/>
        <v>1.7125904655449748</v>
      </c>
      <c r="Q31" s="31"/>
      <c r="R31" s="31"/>
      <c r="S31" s="32"/>
      <c r="T31" s="30"/>
      <c r="U31" s="30"/>
      <c r="V31" s="30"/>
      <c r="W31" s="25">
        <v>864690</v>
      </c>
      <c r="X31" s="23">
        <v>32</v>
      </c>
      <c r="Y31" s="26">
        <f t="shared" si="5"/>
        <v>3.7007482450357929</v>
      </c>
      <c r="Z31" s="27">
        <f t="shared" si="6"/>
        <v>1.3085350275928269</v>
      </c>
      <c r="AA31" s="31"/>
      <c r="AB31" s="31"/>
      <c r="AC31" s="32"/>
      <c r="AD31" s="30"/>
      <c r="AE31" s="30"/>
      <c r="AF31" s="72"/>
      <c r="AG31" s="33">
        <v>52423</v>
      </c>
      <c r="AH31" s="34">
        <v>3</v>
      </c>
      <c r="AI31" s="41">
        <f t="shared" si="7"/>
        <v>5.7226789767849988</v>
      </c>
      <c r="AJ31" s="36">
        <f t="shared" si="8"/>
        <v>1.7444370483336578</v>
      </c>
      <c r="AK31" s="37"/>
      <c r="AL31" s="37"/>
      <c r="AM31" s="38"/>
      <c r="AN31" s="46"/>
      <c r="AO31" s="46"/>
      <c r="AP31" s="40"/>
      <c r="AQ31" s="33">
        <v>24531</v>
      </c>
      <c r="AR31" s="34">
        <v>14</v>
      </c>
      <c r="AS31" s="41">
        <f t="shared" si="16"/>
        <v>57.070645305939429</v>
      </c>
      <c r="AT31" s="36">
        <f t="shared" si="17"/>
        <v>4.0442898917554002</v>
      </c>
      <c r="AU31" s="47"/>
      <c r="AV31" s="47"/>
      <c r="AW31" s="48"/>
      <c r="AX31" s="46"/>
      <c r="AY31" s="46"/>
      <c r="AZ31" s="74"/>
      <c r="BA31" s="33">
        <v>10264</v>
      </c>
      <c r="BB31" s="34">
        <v>30</v>
      </c>
      <c r="BC31" s="41">
        <f t="shared" si="9"/>
        <v>292.28371005455961</v>
      </c>
      <c r="BD31" s="36">
        <f t="shared" si="10"/>
        <v>5.677724940336911</v>
      </c>
      <c r="BE31" s="47"/>
      <c r="BF31" s="47"/>
      <c r="BG31" s="48"/>
      <c r="BH31" s="46"/>
      <c r="BI31" s="46"/>
      <c r="BJ31" s="74"/>
      <c r="BK31" s="33">
        <v>53787</v>
      </c>
      <c r="BL31" s="34">
        <v>1</v>
      </c>
      <c r="BM31" s="45">
        <f t="shared" si="19"/>
        <v>1.8591853049993492</v>
      </c>
      <c r="BN31" s="36">
        <f t="shared" si="0"/>
        <v>0.62013838370669139</v>
      </c>
      <c r="BO31" s="47"/>
      <c r="BP31" s="47"/>
      <c r="BQ31" s="48"/>
      <c r="BR31" s="46"/>
      <c r="BS31" s="46"/>
      <c r="BT31" s="40"/>
      <c r="BU31" s="33">
        <v>25160</v>
      </c>
      <c r="BV31" s="34">
        <v>7</v>
      </c>
      <c r="BW31" s="45">
        <f t="shared" si="12"/>
        <v>27.82193958664547</v>
      </c>
      <c r="BX31" s="36">
        <f t="shared" si="13"/>
        <v>3.3258249032111649</v>
      </c>
      <c r="BY31" s="47"/>
      <c r="BZ31" s="47"/>
      <c r="CA31" s="48"/>
      <c r="CB31" s="46"/>
      <c r="CC31" s="46"/>
      <c r="CD31" s="74"/>
      <c r="CE31" s="33">
        <v>10042</v>
      </c>
      <c r="CF31" s="34">
        <v>24</v>
      </c>
      <c r="CG31" s="45">
        <f t="shared" si="14"/>
        <v>238.99621589324838</v>
      </c>
      <c r="CH31" s="36">
        <f t="shared" si="15"/>
        <v>5.4764477187235236</v>
      </c>
      <c r="CI31" s="47"/>
      <c r="CJ31" s="47"/>
      <c r="CK31" s="48"/>
      <c r="CL31" s="46"/>
      <c r="CM31" s="46"/>
      <c r="CN31" s="40"/>
    </row>
    <row r="32" spans="1:92" ht="15.6" thickTop="1" thickBot="1" x14ac:dyDescent="0.35">
      <c r="A32" s="23">
        <v>2020</v>
      </c>
      <c r="B32" s="24"/>
      <c r="C32" s="25">
        <v>1722753</v>
      </c>
      <c r="D32" s="23">
        <v>108</v>
      </c>
      <c r="E32" s="26">
        <f t="shared" si="1"/>
        <v>6.2690356655887411</v>
      </c>
      <c r="F32" s="27">
        <f t="shared" si="2"/>
        <v>1.8356225414746816</v>
      </c>
      <c r="G32" s="28"/>
      <c r="H32" s="28"/>
      <c r="I32" s="29"/>
      <c r="J32" s="30"/>
      <c r="K32" s="30"/>
      <c r="L32" s="30"/>
      <c r="M32" s="25">
        <v>853458</v>
      </c>
      <c r="N32" s="23">
        <v>64</v>
      </c>
      <c r="O32" s="26">
        <f t="shared" si="3"/>
        <v>7.4989044569269954</v>
      </c>
      <c r="P32" s="27">
        <f t="shared" si="4"/>
        <v>2.0147569374629173</v>
      </c>
      <c r="Q32" s="31"/>
      <c r="R32" s="31"/>
      <c r="S32" s="32"/>
      <c r="T32" s="30"/>
      <c r="U32" s="30"/>
      <c r="V32" s="30"/>
      <c r="W32" s="25">
        <v>869295</v>
      </c>
      <c r="X32" s="23">
        <v>44</v>
      </c>
      <c r="Y32" s="26">
        <f t="shared" si="5"/>
        <v>5.0615728837736329</v>
      </c>
      <c r="Z32" s="27">
        <f t="shared" si="6"/>
        <v>1.6216772815921603</v>
      </c>
      <c r="AA32" s="31"/>
      <c r="AB32" s="31"/>
      <c r="AC32" s="32"/>
      <c r="AD32" s="30"/>
      <c r="AE32" s="30"/>
      <c r="AF32" s="72"/>
      <c r="AG32" s="33">
        <v>55067</v>
      </c>
      <c r="AH32" s="34">
        <v>4</v>
      </c>
      <c r="AI32" s="41">
        <f t="shared" si="7"/>
        <v>7.2638785479506787</v>
      </c>
      <c r="AJ32" s="36">
        <f t="shared" si="8"/>
        <v>1.9829139214387699</v>
      </c>
      <c r="AK32" s="37"/>
      <c r="AL32" s="37"/>
      <c r="AM32" s="38"/>
      <c r="AN32" s="46"/>
      <c r="AO32" s="46"/>
      <c r="AP32" s="40"/>
      <c r="AQ32" s="33">
        <v>25867</v>
      </c>
      <c r="AR32" s="34">
        <v>17</v>
      </c>
      <c r="AS32" s="41">
        <f t="shared" si="16"/>
        <v>65.720802566977227</v>
      </c>
      <c r="AT32" s="36">
        <f t="shared" si="17"/>
        <v>4.1854155050083373</v>
      </c>
      <c r="AU32" s="47"/>
      <c r="AV32" s="47"/>
      <c r="AW32" s="48"/>
      <c r="AX32" s="46"/>
      <c r="AY32" s="46"/>
      <c r="AZ32" s="74"/>
      <c r="BA32" s="33">
        <v>10827</v>
      </c>
      <c r="BB32" s="34">
        <v>43</v>
      </c>
      <c r="BC32" s="41">
        <f t="shared" si="9"/>
        <v>397.15525999815276</v>
      </c>
      <c r="BD32" s="36">
        <f t="shared" si="10"/>
        <v>5.984327287352893</v>
      </c>
      <c r="BE32" s="47"/>
      <c r="BF32" s="47"/>
      <c r="BG32" s="48"/>
      <c r="BH32" s="46"/>
      <c r="BI32" s="46"/>
      <c r="BJ32" s="74"/>
      <c r="BK32" s="33">
        <v>56200</v>
      </c>
      <c r="BL32" s="34">
        <v>4</v>
      </c>
      <c r="BM32" s="45">
        <f t="shared" si="19"/>
        <v>7.1174377224199281</v>
      </c>
      <c r="BN32" s="36">
        <f t="shared" si="0"/>
        <v>1.9625477902083366</v>
      </c>
      <c r="BO32" s="47"/>
      <c r="BP32" s="47"/>
      <c r="BQ32" s="48"/>
      <c r="BR32" s="46"/>
      <c r="BS32" s="46"/>
      <c r="BT32" s="40"/>
      <c r="BU32" s="33">
        <v>26158</v>
      </c>
      <c r="BV32" s="34">
        <v>11</v>
      </c>
      <c r="BW32" s="45">
        <f t="shared" si="12"/>
        <v>42.052144659377625</v>
      </c>
      <c r="BX32" s="36">
        <f t="shared" si="13"/>
        <v>3.7389103877195011</v>
      </c>
      <c r="BY32" s="47"/>
      <c r="BZ32" s="47"/>
      <c r="CA32" s="48"/>
      <c r="CB32" s="46"/>
      <c r="CC32" s="46"/>
      <c r="CD32" s="74"/>
      <c r="CE32" s="33">
        <v>10461</v>
      </c>
      <c r="CF32" s="34">
        <v>29</v>
      </c>
      <c r="CG32" s="45">
        <f t="shared" si="14"/>
        <v>277.22015103718576</v>
      </c>
      <c r="CH32" s="36">
        <f t="shared" si="15"/>
        <v>5.6248119596129413</v>
      </c>
      <c r="CI32" s="47"/>
      <c r="CJ32" s="47"/>
      <c r="CK32" s="48"/>
      <c r="CL32" s="46"/>
      <c r="CM32" s="46"/>
      <c r="CN32" s="40"/>
    </row>
    <row r="33" spans="1:92" ht="15.6" thickTop="1" thickBot="1" x14ac:dyDescent="0.35">
      <c r="A33" s="23">
        <v>2021</v>
      </c>
      <c r="B33" s="24"/>
      <c r="C33" s="25">
        <v>1729622</v>
      </c>
      <c r="D33" s="23">
        <v>78</v>
      </c>
      <c r="E33" s="26">
        <f t="shared" si="1"/>
        <v>4.5096558670044669</v>
      </c>
      <c r="F33" s="27">
        <f t="shared" si="2"/>
        <v>1.5062208461696562</v>
      </c>
      <c r="G33" s="28"/>
      <c r="H33" s="28"/>
      <c r="I33" s="29"/>
      <c r="J33" s="30"/>
      <c r="K33" s="30"/>
      <c r="L33" s="30"/>
      <c r="M33" s="25">
        <v>857719</v>
      </c>
      <c r="N33" s="23">
        <v>43</v>
      </c>
      <c r="O33" s="26">
        <f t="shared" si="3"/>
        <v>5.0132968956033386</v>
      </c>
      <c r="P33" s="27">
        <f t="shared" si="4"/>
        <v>1.6120937616629432</v>
      </c>
      <c r="Q33" s="31"/>
      <c r="R33" s="31"/>
      <c r="S33" s="32"/>
      <c r="T33" s="30"/>
      <c r="U33" s="30"/>
      <c r="V33" s="30"/>
      <c r="W33" s="25">
        <v>871903</v>
      </c>
      <c r="X33" s="23">
        <v>35</v>
      </c>
      <c r="Y33" s="26">
        <f t="shared" si="5"/>
        <v>4.0142080024956908</v>
      </c>
      <c r="Z33" s="27">
        <f t="shared" si="6"/>
        <v>1.3898400682881</v>
      </c>
      <c r="AA33" s="31"/>
      <c r="AB33" s="31"/>
      <c r="AC33" s="32"/>
      <c r="AD33" s="30"/>
      <c r="AE33" s="30"/>
      <c r="AF33" s="72"/>
      <c r="AG33" s="33">
        <v>57480</v>
      </c>
      <c r="AH33" s="34">
        <v>2</v>
      </c>
      <c r="AI33" s="41">
        <f t="shared" si="7"/>
        <v>3.4794711203897011</v>
      </c>
      <c r="AJ33" s="36">
        <f t="shared" si="8"/>
        <v>1.2468803053372126</v>
      </c>
      <c r="AK33" s="37"/>
      <c r="AL33" s="37"/>
      <c r="AM33" s="38"/>
      <c r="AN33" s="49"/>
      <c r="AO33" s="49"/>
      <c r="AP33" s="40"/>
      <c r="AQ33" s="33">
        <v>27181</v>
      </c>
      <c r="AR33" s="34">
        <v>10</v>
      </c>
      <c r="AS33" s="41">
        <f t="shared" si="16"/>
        <v>36.790405062359739</v>
      </c>
      <c r="AT33" s="36">
        <f t="shared" si="17"/>
        <v>3.6052370791772934</v>
      </c>
      <c r="AU33" s="47"/>
      <c r="AV33" s="47"/>
      <c r="AW33" s="48"/>
      <c r="AX33" s="49"/>
      <c r="AY33" s="49"/>
      <c r="AZ33" s="75"/>
      <c r="BA33" s="33">
        <v>11216</v>
      </c>
      <c r="BB33" s="34">
        <v>31</v>
      </c>
      <c r="BC33" s="41">
        <f t="shared" si="9"/>
        <v>276.39087018544939</v>
      </c>
      <c r="BD33" s="36">
        <f t="shared" si="10"/>
        <v>5.6218160601810032</v>
      </c>
      <c r="BE33" s="47"/>
      <c r="BF33" s="47"/>
      <c r="BG33" s="48"/>
      <c r="BH33" s="49"/>
      <c r="BI33" s="49"/>
      <c r="BJ33" s="75"/>
      <c r="BK33" s="33">
        <v>58323</v>
      </c>
      <c r="BL33" s="34">
        <v>4</v>
      </c>
      <c r="BM33" s="45">
        <f t="shared" si="19"/>
        <v>6.8583577662328752</v>
      </c>
      <c r="BN33" s="36">
        <f t="shared" si="0"/>
        <v>1.9254680204013694</v>
      </c>
      <c r="BO33" s="47"/>
      <c r="BP33" s="47"/>
      <c r="BQ33" s="48"/>
      <c r="BR33" s="49"/>
      <c r="BS33" s="49"/>
      <c r="BT33" s="40"/>
      <c r="BU33" s="33">
        <v>26984</v>
      </c>
      <c r="BV33" s="34">
        <v>9</v>
      </c>
      <c r="BW33" s="45">
        <f t="shared" si="12"/>
        <v>33.353098132226506</v>
      </c>
      <c r="BX33" s="36">
        <f t="shared" si="13"/>
        <v>3.5071506655649616</v>
      </c>
      <c r="BY33" s="47"/>
      <c r="BZ33" s="47"/>
      <c r="CA33" s="48"/>
      <c r="CB33" s="49"/>
      <c r="CC33" s="49"/>
      <c r="CD33" s="75"/>
      <c r="CE33" s="33">
        <v>10675</v>
      </c>
      <c r="CF33" s="34">
        <v>22</v>
      </c>
      <c r="CG33" s="45">
        <f t="shared" si="14"/>
        <v>206.08899297423886</v>
      </c>
      <c r="CH33" s="36">
        <f t="shared" si="15"/>
        <v>5.3283080802317189</v>
      </c>
      <c r="CI33" s="47"/>
      <c r="CJ33" s="47"/>
      <c r="CK33" s="48"/>
      <c r="CL33" s="49"/>
      <c r="CM33" s="49"/>
      <c r="CN33" s="40"/>
    </row>
    <row r="34" spans="1:92" ht="15.6" thickTop="1" thickBot="1" x14ac:dyDescent="0.35">
      <c r="A34" s="50">
        <v>2016</v>
      </c>
      <c r="B34" s="51" t="s">
        <v>30</v>
      </c>
      <c r="C34" s="52">
        <v>548233</v>
      </c>
      <c r="D34" s="50">
        <v>12</v>
      </c>
      <c r="E34" s="26">
        <f t="shared" si="1"/>
        <v>2.1888503610691075</v>
      </c>
      <c r="F34" s="53">
        <f t="shared" si="2"/>
        <v>0.78337645671078238</v>
      </c>
      <c r="G34" s="54">
        <v>-3.6600000000000001E-2</v>
      </c>
      <c r="H34" s="54">
        <v>-0.18509999999999999</v>
      </c>
      <c r="I34" s="55">
        <v>0.66400000000000003</v>
      </c>
      <c r="J34" s="30">
        <f>(EXP(-0.253)-1)*100</f>
        <v>-22.353211817626217</v>
      </c>
      <c r="K34" s="30">
        <f>(EXP(0.18)-1)*100</f>
        <v>19.721736312181015</v>
      </c>
      <c r="L34" s="56">
        <f>(EXP(G34)-1)*100</f>
        <v>-3.593831709243589</v>
      </c>
      <c r="M34" s="52">
        <v>271147</v>
      </c>
      <c r="N34" s="50">
        <v>8</v>
      </c>
      <c r="O34" s="57">
        <f t="shared" si="3"/>
        <v>2.9504291030326724</v>
      </c>
      <c r="P34" s="53">
        <f>LN(O34)</f>
        <v>1.0819506184287873</v>
      </c>
      <c r="Q34" s="58">
        <v>-1.7100000000000001E-2</v>
      </c>
      <c r="R34" s="58">
        <v>-0.2361</v>
      </c>
      <c r="S34" s="59">
        <v>0.84209999999999996</v>
      </c>
      <c r="T34" s="30">
        <f>(EXP(-0.241)-1)*100</f>
        <v>-21.415837361165448</v>
      </c>
      <c r="U34" s="30">
        <f>(EXP(0.207)-1)*100</f>
        <v>22.998257178075264</v>
      </c>
      <c r="V34" s="56">
        <f>(EXP(Q34)-1)*100</f>
        <v>-1.6954624817999253</v>
      </c>
      <c r="W34" s="52">
        <v>277086</v>
      </c>
      <c r="X34" s="50">
        <v>4</v>
      </c>
      <c r="Y34" s="57">
        <f t="shared" si="5"/>
        <v>1.4435951293100338</v>
      </c>
      <c r="Z34" s="53">
        <f t="shared" si="6"/>
        <v>0.36713661979218842</v>
      </c>
      <c r="AA34" s="58">
        <v>-7.2900000000000006E-2</v>
      </c>
      <c r="AB34" s="58">
        <v>-0.1071</v>
      </c>
      <c r="AC34" s="59">
        <v>0.51219999999999999</v>
      </c>
      <c r="AD34" s="30">
        <f>(EXP(-0.354)-1)*100</f>
        <v>-29.812503264460599</v>
      </c>
      <c r="AE34" s="30">
        <f>(EXP(0.209)-1)*100</f>
        <v>23.244499853025481</v>
      </c>
      <c r="AF34" s="76">
        <f>(EXP(AA34)-1)*100</f>
        <v>-7.030620524304565</v>
      </c>
      <c r="AG34" s="60">
        <v>10573</v>
      </c>
      <c r="AH34" s="61">
        <v>1</v>
      </c>
      <c r="AI34" s="62">
        <f t="shared" si="7"/>
        <v>9.4580535325829942</v>
      </c>
      <c r="AJ34" s="63">
        <f t="shared" si="8"/>
        <v>2.2468666042377019</v>
      </c>
      <c r="AK34" s="64">
        <v>0.32090000000000002</v>
      </c>
      <c r="AL34" s="64">
        <v>-0.17730000000000001</v>
      </c>
      <c r="AM34" s="65">
        <v>0.6452</v>
      </c>
      <c r="AN34" s="39">
        <f>(EXP(-1.471) - 1) * 100</f>
        <v>-77.030432537403158</v>
      </c>
      <c r="AO34" s="39">
        <f>(EXP(2.113) - 1) * 100</f>
        <v>727.30231627112619</v>
      </c>
      <c r="AP34" s="77">
        <f>(EXP(AK34)-1)*100</f>
        <v>37.836773722796281</v>
      </c>
      <c r="AQ34" s="60">
        <v>4545</v>
      </c>
      <c r="AR34" s="61">
        <v>2</v>
      </c>
      <c r="AS34" s="62">
        <f t="shared" si="16"/>
        <v>44.004400440044002</v>
      </c>
      <c r="AT34" s="63">
        <f>LN(AS34)</f>
        <v>3.7842896389185943</v>
      </c>
      <c r="AU34" s="67">
        <v>-6.3399999999999998E-2</v>
      </c>
      <c r="AV34" s="67">
        <v>-0.19189999999999999</v>
      </c>
      <c r="AW34" s="68">
        <v>0.68159999999999998</v>
      </c>
      <c r="AX34" s="39">
        <f>(EXP(-0.462) - 1) * 100</f>
        <v>-36.997766005808771</v>
      </c>
      <c r="AY34" s="39">
        <f>(EXP(0.335) - 1) * 100</f>
        <v>39.794038522246701</v>
      </c>
      <c r="AZ34" s="78">
        <f>(EXP(AU34)-1)*100</f>
        <v>-6.1432028594878947</v>
      </c>
      <c r="BA34" s="60">
        <v>2054</v>
      </c>
      <c r="BB34" s="61">
        <v>5</v>
      </c>
      <c r="BC34" s="62">
        <f t="shared" si="9"/>
        <v>243.42745861733206</v>
      </c>
      <c r="BD34" s="63">
        <f>LN(BC34)</f>
        <v>5.494818986915825</v>
      </c>
      <c r="BE34" s="67">
        <v>-8.2600000000000007E-2</v>
      </c>
      <c r="BF34" s="67">
        <v>-0.1</v>
      </c>
      <c r="BG34" s="68">
        <v>0.50119999999999998</v>
      </c>
      <c r="BH34" s="39">
        <f>(EXP(-0.393) - 1) * 100</f>
        <v>-32.497125241386684</v>
      </c>
      <c r="BI34" s="39">
        <f>(EXP(0.228) - 1) * 100</f>
        <v>25.608532543234407</v>
      </c>
      <c r="BJ34" s="78">
        <f>(EXP(BE34)-1)*100</f>
        <v>-7.9280638683077438</v>
      </c>
      <c r="BK34" s="60">
        <v>11818</v>
      </c>
      <c r="BL34" s="61">
        <v>1</v>
      </c>
      <c r="BM34" s="69">
        <f t="shared" si="19"/>
        <v>8.4616686410560167</v>
      </c>
      <c r="BN34" s="63">
        <f t="shared" si="0"/>
        <v>2.1355463930646086</v>
      </c>
      <c r="BO34" s="67">
        <v>-1.1086</v>
      </c>
      <c r="BP34" s="67">
        <v>0.63560000000000005</v>
      </c>
      <c r="BQ34" s="68">
        <v>3.56E-2</v>
      </c>
      <c r="BR34" s="39">
        <f>(EXP(-2.096) - 1) * 100</f>
        <v>-87.705276507507108</v>
      </c>
      <c r="BS34" s="39">
        <f>(EXP(-0.122) - 1) * 100</f>
        <v>-11.485163149737287</v>
      </c>
      <c r="BT34" s="77">
        <f>(EXP(BO34)-1)*100</f>
        <v>-66.99793332607527</v>
      </c>
      <c r="BU34" s="60">
        <v>4929</v>
      </c>
      <c r="BV34" s="61">
        <v>1</v>
      </c>
      <c r="BW34" s="69">
        <f t="shared" si="12"/>
        <v>20.28809089064719</v>
      </c>
      <c r="BX34" s="63">
        <f t="shared" si="13"/>
        <v>3.0100340582648508</v>
      </c>
      <c r="BY34" s="67">
        <v>-0.45140000000000002</v>
      </c>
      <c r="BZ34" s="67">
        <v>-7.5800000000000006E-2</v>
      </c>
      <c r="CA34" s="68">
        <v>0.46610000000000001</v>
      </c>
      <c r="CB34" s="39">
        <f>(EXP(-2.009) - 1) * 100</f>
        <v>-86.587726963985176</v>
      </c>
      <c r="CC34" s="39">
        <f>(EXP(1.106) - 1) * 100</f>
        <v>202.224520339094</v>
      </c>
      <c r="CD34" s="78">
        <f>(EXP(BY34)-1)*100</f>
        <v>-36.326390320641522</v>
      </c>
      <c r="CE34" s="60">
        <v>1877</v>
      </c>
      <c r="CF34" s="61">
        <v>2</v>
      </c>
      <c r="CG34" s="69">
        <f t="shared" si="14"/>
        <v>106.55301012253595</v>
      </c>
      <c r="CH34" s="63">
        <f>LN(CG34)</f>
        <v>4.6686426089436646</v>
      </c>
      <c r="CI34" s="67">
        <v>-1.03E-2</v>
      </c>
      <c r="CJ34" s="67">
        <v>-0.24909999999999999</v>
      </c>
      <c r="CK34" s="68">
        <v>0.95940000000000003</v>
      </c>
      <c r="CL34" s="39">
        <f>(EXP(-0.537) - 1) * 100</f>
        <v>-41.550087787741759</v>
      </c>
      <c r="CM34" s="39">
        <f>(EXP(0.516) - 1) * 100</f>
        <v>67.531297739758742</v>
      </c>
      <c r="CN34" s="66">
        <f t="shared" ref="CN34" si="26">(EXP(CI34)-1)*100</f>
        <v>-1.024713665316912</v>
      </c>
    </row>
    <row r="35" spans="1:92" ht="15.6" thickTop="1" thickBot="1" x14ac:dyDescent="0.35">
      <c r="A35" s="50">
        <v>2017</v>
      </c>
      <c r="B35" s="51"/>
      <c r="C35" s="52">
        <v>564013</v>
      </c>
      <c r="D35" s="50">
        <v>11</v>
      </c>
      <c r="E35" s="26">
        <f t="shared" si="1"/>
        <v>1.9503096559831066</v>
      </c>
      <c r="F35" s="53">
        <f t="shared" si="2"/>
        <v>0.66798815790865185</v>
      </c>
      <c r="G35" s="54"/>
      <c r="H35" s="54"/>
      <c r="I35" s="55"/>
      <c r="J35" s="30"/>
      <c r="K35" s="30"/>
      <c r="L35" s="56"/>
      <c r="M35" s="52">
        <v>278905</v>
      </c>
      <c r="N35" s="50">
        <v>6</v>
      </c>
      <c r="O35" s="57">
        <f t="shared" si="3"/>
        <v>2.1512701457485526</v>
      </c>
      <c r="P35" s="53">
        <f t="shared" si="4"/>
        <v>0.76605843317079358</v>
      </c>
      <c r="Q35" s="58"/>
      <c r="R35" s="58"/>
      <c r="S35" s="59"/>
      <c r="T35" s="30"/>
      <c r="U35" s="30"/>
      <c r="V35" s="56"/>
      <c r="W35" s="52">
        <v>285108</v>
      </c>
      <c r="X35" s="50">
        <v>5</v>
      </c>
      <c r="Y35" s="57">
        <f t="shared" si="5"/>
        <v>1.753721396804018</v>
      </c>
      <c r="Z35" s="53">
        <f t="shared" si="6"/>
        <v>0.56174004256754018</v>
      </c>
      <c r="AA35" s="58"/>
      <c r="AB35" s="58"/>
      <c r="AC35" s="59"/>
      <c r="AD35" s="30"/>
      <c r="AE35" s="30"/>
      <c r="AF35" s="76"/>
      <c r="AG35" s="60">
        <v>11394</v>
      </c>
      <c r="AH35" s="61">
        <v>0.01</v>
      </c>
      <c r="AI35" s="62">
        <f t="shared" si="7"/>
        <v>8.77654906090925E-2</v>
      </c>
      <c r="AJ35" s="63">
        <f t="shared" si="8"/>
        <v>-2.4330869010582039</v>
      </c>
      <c r="AK35" s="64"/>
      <c r="AL35" s="64"/>
      <c r="AM35" s="65"/>
      <c r="AN35" s="46"/>
      <c r="AO35" s="46"/>
      <c r="AP35" s="79"/>
      <c r="AQ35" s="60">
        <v>4855</v>
      </c>
      <c r="AR35" s="61">
        <v>2</v>
      </c>
      <c r="AS35" s="62">
        <f t="shared" si="16"/>
        <v>41.194644696189499</v>
      </c>
      <c r="AT35" s="63">
        <f t="shared" si="17"/>
        <v>3.7183082648047487</v>
      </c>
      <c r="AU35" s="70"/>
      <c r="AV35" s="70"/>
      <c r="AW35" s="71"/>
      <c r="AX35" s="46"/>
      <c r="AY35" s="46"/>
      <c r="AZ35" s="80"/>
      <c r="BA35" s="60">
        <v>2164</v>
      </c>
      <c r="BB35" s="61">
        <v>4</v>
      </c>
      <c r="BC35" s="62">
        <f t="shared" si="9"/>
        <v>184.84288354898337</v>
      </c>
      <c r="BD35" s="63">
        <f t="shared" si="10"/>
        <v>5.2195061861237466</v>
      </c>
      <c r="BE35" s="70"/>
      <c r="BF35" s="70"/>
      <c r="BG35" s="71"/>
      <c r="BH35" s="46"/>
      <c r="BI35" s="46"/>
      <c r="BJ35" s="80"/>
      <c r="BK35" s="60">
        <v>12476</v>
      </c>
      <c r="BL35" s="61">
        <v>1</v>
      </c>
      <c r="BM35" s="69">
        <f t="shared" si="19"/>
        <v>8.0153895479320294</v>
      </c>
      <c r="BN35" s="63">
        <f t="shared" si="0"/>
        <v>2.0813633872425346</v>
      </c>
      <c r="BO35" s="70"/>
      <c r="BP35" s="70"/>
      <c r="BQ35" s="71"/>
      <c r="BR35" s="46"/>
      <c r="BS35" s="46"/>
      <c r="BT35" s="79"/>
      <c r="BU35" s="60">
        <v>5277</v>
      </c>
      <c r="BV35" s="61">
        <v>3</v>
      </c>
      <c r="BW35" s="69">
        <f t="shared" si="12"/>
        <v>56.850483229107446</v>
      </c>
      <c r="BX35" s="63">
        <f t="shared" si="13"/>
        <v>4.0404247202326706</v>
      </c>
      <c r="BY35" s="70"/>
      <c r="BZ35" s="70"/>
      <c r="CA35" s="71"/>
      <c r="CB35" s="46"/>
      <c r="CC35" s="46"/>
      <c r="CD35" s="80"/>
      <c r="CE35" s="60">
        <v>1981</v>
      </c>
      <c r="CF35" s="61">
        <v>1</v>
      </c>
      <c r="CG35" s="69">
        <f t="shared" si="14"/>
        <v>50.479555779909134</v>
      </c>
      <c r="CH35" s="63">
        <f t="shared" si="15"/>
        <v>3.9215684182716775</v>
      </c>
      <c r="CI35" s="70"/>
      <c r="CJ35" s="70"/>
      <c r="CK35" s="71"/>
      <c r="CL35" s="46"/>
      <c r="CM35" s="46"/>
      <c r="CN35" s="66"/>
    </row>
    <row r="36" spans="1:92" ht="15.6" thickTop="1" thickBot="1" x14ac:dyDescent="0.35">
      <c r="A36" s="50">
        <v>2018</v>
      </c>
      <c r="B36" s="51"/>
      <c r="C36" s="52">
        <v>587497</v>
      </c>
      <c r="D36" s="50">
        <v>21</v>
      </c>
      <c r="E36" s="26">
        <f t="shared" si="1"/>
        <v>3.574486337802576</v>
      </c>
      <c r="F36" s="53">
        <f t="shared" si="2"/>
        <v>1.2738214840892166</v>
      </c>
      <c r="G36" s="54"/>
      <c r="H36" s="54"/>
      <c r="I36" s="55"/>
      <c r="J36" s="30"/>
      <c r="K36" s="30"/>
      <c r="L36" s="56"/>
      <c r="M36" s="52">
        <v>290159</v>
      </c>
      <c r="N36" s="50">
        <v>14</v>
      </c>
      <c r="O36" s="57">
        <f t="shared" si="3"/>
        <v>4.824940808315441</v>
      </c>
      <c r="P36" s="53">
        <f t="shared" si="4"/>
        <v>1.5737984670090559</v>
      </c>
      <c r="Q36" s="58"/>
      <c r="R36" s="58"/>
      <c r="S36" s="59"/>
      <c r="T36" s="30"/>
      <c r="U36" s="30"/>
      <c r="V36" s="56"/>
      <c r="W36" s="52">
        <v>297338</v>
      </c>
      <c r="X36" s="50">
        <v>7</v>
      </c>
      <c r="Y36" s="57">
        <f t="shared" si="5"/>
        <v>2.3542231399955607</v>
      </c>
      <c r="Z36" s="53">
        <f t="shared" si="6"/>
        <v>0.8562107961874067</v>
      </c>
      <c r="AA36" s="58"/>
      <c r="AB36" s="58"/>
      <c r="AC36" s="59"/>
      <c r="AD36" s="30"/>
      <c r="AE36" s="30"/>
      <c r="AF36" s="76"/>
      <c r="AG36" s="60">
        <v>12338</v>
      </c>
      <c r="AH36" s="61">
        <v>0.01</v>
      </c>
      <c r="AI36" s="62">
        <f t="shared" si="7"/>
        <v>8.1050413357108123E-2</v>
      </c>
      <c r="AJ36" s="63">
        <f t="shared" si="8"/>
        <v>-2.5126839307874467</v>
      </c>
      <c r="AK36" s="64"/>
      <c r="AL36" s="64"/>
      <c r="AM36" s="65"/>
      <c r="AN36" s="46"/>
      <c r="AO36" s="46"/>
      <c r="AP36" s="79"/>
      <c r="AQ36" s="60">
        <v>5247</v>
      </c>
      <c r="AR36" s="61">
        <v>5</v>
      </c>
      <c r="AS36" s="62">
        <f t="shared" si="16"/>
        <v>95.292548122736804</v>
      </c>
      <c r="AT36" s="63">
        <f t="shared" si="17"/>
        <v>4.5569516137176169</v>
      </c>
      <c r="AU36" s="70"/>
      <c r="AV36" s="70"/>
      <c r="AW36" s="71"/>
      <c r="AX36" s="46"/>
      <c r="AY36" s="46"/>
      <c r="AZ36" s="80"/>
      <c r="BA36" s="60">
        <v>2298</v>
      </c>
      <c r="BB36" s="61">
        <v>9</v>
      </c>
      <c r="BC36" s="62">
        <f t="shared" si="9"/>
        <v>391.64490861618793</v>
      </c>
      <c r="BD36" s="63">
        <f t="shared" si="10"/>
        <v>5.9703555838977467</v>
      </c>
      <c r="BE36" s="70"/>
      <c r="BF36" s="70"/>
      <c r="BG36" s="71"/>
      <c r="BH36" s="46"/>
      <c r="BI36" s="46"/>
      <c r="BJ36" s="80"/>
      <c r="BK36" s="60">
        <v>13251</v>
      </c>
      <c r="BL36" s="61">
        <v>1</v>
      </c>
      <c r="BM36" s="69">
        <f t="shared" si="19"/>
        <v>7.5466002565844086</v>
      </c>
      <c r="BN36" s="63">
        <f t="shared" si="0"/>
        <v>2.0210971647055924</v>
      </c>
      <c r="BO36" s="70"/>
      <c r="BP36" s="70"/>
      <c r="BQ36" s="71"/>
      <c r="BR36" s="46"/>
      <c r="BS36" s="46"/>
      <c r="BT36" s="79"/>
      <c r="BU36" s="60">
        <v>5715</v>
      </c>
      <c r="BV36" s="61">
        <v>2</v>
      </c>
      <c r="BW36" s="69">
        <f t="shared" si="12"/>
        <v>34.99562554680665</v>
      </c>
      <c r="BX36" s="63">
        <f t="shared" si="13"/>
        <v>3.5552230693012628</v>
      </c>
      <c r="BY36" s="70"/>
      <c r="BZ36" s="70"/>
      <c r="CA36" s="71"/>
      <c r="CB36" s="46"/>
      <c r="CC36" s="46"/>
      <c r="CD36" s="80"/>
      <c r="CE36" s="60">
        <v>2102</v>
      </c>
      <c r="CF36" s="61">
        <v>4</v>
      </c>
      <c r="CG36" s="69">
        <f t="shared" si="14"/>
        <v>190.29495718363464</v>
      </c>
      <c r="CH36" s="63">
        <f t="shared" si="15"/>
        <v>5.2485752746532226</v>
      </c>
      <c r="CI36" s="70"/>
      <c r="CJ36" s="70"/>
      <c r="CK36" s="71"/>
      <c r="CL36" s="46"/>
      <c r="CM36" s="46"/>
      <c r="CN36" s="66"/>
    </row>
    <row r="37" spans="1:92" ht="15.6" thickTop="1" thickBot="1" x14ac:dyDescent="0.35">
      <c r="A37" s="50">
        <v>2019</v>
      </c>
      <c r="B37" s="51"/>
      <c r="C37" s="52">
        <v>618125</v>
      </c>
      <c r="D37" s="50">
        <v>18</v>
      </c>
      <c r="E37" s="26">
        <f t="shared" si="1"/>
        <v>2.9120323559150654</v>
      </c>
      <c r="F37" s="53">
        <f t="shared" si="2"/>
        <v>1.0688512415072793</v>
      </c>
      <c r="G37" s="54"/>
      <c r="H37" s="54"/>
      <c r="I37" s="55"/>
      <c r="J37" s="30"/>
      <c r="K37" s="30"/>
      <c r="L37" s="56"/>
      <c r="M37" s="52">
        <v>304699</v>
      </c>
      <c r="N37" s="50">
        <v>9</v>
      </c>
      <c r="O37" s="57">
        <f t="shared" si="3"/>
        <v>2.9537346692965847</v>
      </c>
      <c r="P37" s="53">
        <f t="shared" si="4"/>
        <v>1.0830703592546722</v>
      </c>
      <c r="Q37" s="58"/>
      <c r="R37" s="58"/>
      <c r="S37" s="59"/>
      <c r="T37" s="30"/>
      <c r="U37" s="30"/>
      <c r="V37" s="56"/>
      <c r="W37" s="52">
        <v>313426</v>
      </c>
      <c r="X37" s="50">
        <v>9</v>
      </c>
      <c r="Y37" s="57">
        <f t="shared" si="5"/>
        <v>2.8714911972842074</v>
      </c>
      <c r="Z37" s="53">
        <f t="shared" si="6"/>
        <v>1.0548314757713575</v>
      </c>
      <c r="AA37" s="58"/>
      <c r="AB37" s="58"/>
      <c r="AC37" s="59"/>
      <c r="AD37" s="30"/>
      <c r="AE37" s="30"/>
      <c r="AF37" s="76"/>
      <c r="AG37" s="60">
        <v>13386</v>
      </c>
      <c r="AH37" s="61">
        <v>0.01</v>
      </c>
      <c r="AI37" s="62">
        <f t="shared" si="7"/>
        <v>7.4704915583445386E-2</v>
      </c>
      <c r="AJ37" s="63">
        <f t="shared" si="8"/>
        <v>-2.5942093846784506</v>
      </c>
      <c r="AK37" s="64"/>
      <c r="AL37" s="64"/>
      <c r="AM37" s="65"/>
      <c r="AN37" s="46"/>
      <c r="AO37" s="46"/>
      <c r="AP37" s="79"/>
      <c r="AQ37" s="60">
        <v>5715</v>
      </c>
      <c r="AR37" s="61">
        <v>1</v>
      </c>
      <c r="AS37" s="62">
        <f t="shared" si="16"/>
        <v>17.497812773403325</v>
      </c>
      <c r="AT37" s="63">
        <f t="shared" si="17"/>
        <v>2.8620758887413174</v>
      </c>
      <c r="AU37" s="70"/>
      <c r="AV37" s="70"/>
      <c r="AW37" s="71"/>
      <c r="AX37" s="46"/>
      <c r="AY37" s="46"/>
      <c r="AZ37" s="80"/>
      <c r="BA37" s="60">
        <v>2458</v>
      </c>
      <c r="BB37" s="61">
        <v>8</v>
      </c>
      <c r="BC37" s="62">
        <f t="shared" si="9"/>
        <v>325.46786004882017</v>
      </c>
      <c r="BD37" s="63">
        <f t="shared" si="10"/>
        <v>5.7852637165240841</v>
      </c>
      <c r="BE37" s="70"/>
      <c r="BF37" s="70"/>
      <c r="BG37" s="71"/>
      <c r="BH37" s="46"/>
      <c r="BI37" s="46"/>
      <c r="BJ37" s="80"/>
      <c r="BK37" s="60">
        <v>14147</v>
      </c>
      <c r="BL37" s="61">
        <v>1</v>
      </c>
      <c r="BM37" s="69">
        <f t="shared" si="19"/>
        <v>7.0686364600268607</v>
      </c>
      <c r="BN37" s="63">
        <f t="shared" si="0"/>
        <v>1.9556675985112941</v>
      </c>
      <c r="BO37" s="70"/>
      <c r="BP37" s="70"/>
      <c r="BQ37" s="71"/>
      <c r="BR37" s="46"/>
      <c r="BS37" s="46"/>
      <c r="BT37" s="79"/>
      <c r="BU37" s="60">
        <v>6224</v>
      </c>
      <c r="BV37" s="61">
        <v>3</v>
      </c>
      <c r="BW37" s="69">
        <f t="shared" si="12"/>
        <v>48.200514138817482</v>
      </c>
      <c r="BX37" s="63">
        <f t="shared" si="13"/>
        <v>3.8753696877801107</v>
      </c>
      <c r="BY37" s="70"/>
      <c r="BZ37" s="70"/>
      <c r="CA37" s="71"/>
      <c r="CB37" s="46"/>
      <c r="CC37" s="46"/>
      <c r="CD37" s="80"/>
      <c r="CE37" s="60">
        <v>2237</v>
      </c>
      <c r="CF37" s="61">
        <v>4</v>
      </c>
      <c r="CG37" s="69">
        <f t="shared" si="14"/>
        <v>178.8109074653554</v>
      </c>
      <c r="CH37" s="63">
        <f t="shared" si="15"/>
        <v>5.1863288645999894</v>
      </c>
      <c r="CI37" s="70"/>
      <c r="CJ37" s="70"/>
      <c r="CK37" s="71"/>
      <c r="CL37" s="46"/>
      <c r="CM37" s="46"/>
      <c r="CN37" s="66"/>
    </row>
    <row r="38" spans="1:92" ht="15.6" thickTop="1" thickBot="1" x14ac:dyDescent="0.35">
      <c r="A38" s="50">
        <v>2020</v>
      </c>
      <c r="B38" s="51"/>
      <c r="C38" s="52">
        <v>640975</v>
      </c>
      <c r="D38" s="50">
        <v>16</v>
      </c>
      <c r="E38" s="26">
        <f t="shared" si="1"/>
        <v>2.4961971995787668</v>
      </c>
      <c r="F38" s="53">
        <f t="shared" si="2"/>
        <v>0.91476845362784565</v>
      </c>
      <c r="G38" s="54"/>
      <c r="H38" s="54"/>
      <c r="I38" s="55"/>
      <c r="J38" s="30"/>
      <c r="K38" s="30"/>
      <c r="L38" s="56"/>
      <c r="M38" s="52">
        <v>315780</v>
      </c>
      <c r="N38" s="50">
        <v>11</v>
      </c>
      <c r="O38" s="57">
        <f t="shared" si="3"/>
        <v>3.4834378364684273</v>
      </c>
      <c r="P38" s="53">
        <f t="shared" si="4"/>
        <v>1.2480196901927192</v>
      </c>
      <c r="Q38" s="58"/>
      <c r="R38" s="58"/>
      <c r="S38" s="59"/>
      <c r="T38" s="30"/>
      <c r="U38" s="30"/>
      <c r="V38" s="56"/>
      <c r="W38" s="52">
        <v>325195</v>
      </c>
      <c r="X38" s="50">
        <v>5</v>
      </c>
      <c r="Y38" s="57">
        <f t="shared" si="5"/>
        <v>1.537539015052507</v>
      </c>
      <c r="Z38" s="53">
        <f t="shared" si="6"/>
        <v>0.43018309602048665</v>
      </c>
      <c r="AA38" s="58"/>
      <c r="AB38" s="58"/>
      <c r="AC38" s="59"/>
      <c r="AD38" s="30"/>
      <c r="AE38" s="30"/>
      <c r="AF38" s="76"/>
      <c r="AG38" s="60">
        <v>14323</v>
      </c>
      <c r="AH38" s="61">
        <v>1</v>
      </c>
      <c r="AI38" s="62">
        <f t="shared" si="7"/>
        <v>6.981777560566921</v>
      </c>
      <c r="AJ38" s="63">
        <f t="shared" si="8"/>
        <v>1.9433035491903634</v>
      </c>
      <c r="AK38" s="64"/>
      <c r="AL38" s="64"/>
      <c r="AM38" s="65"/>
      <c r="AN38" s="46"/>
      <c r="AO38" s="46"/>
      <c r="AP38" s="79"/>
      <c r="AQ38" s="60">
        <v>6166</v>
      </c>
      <c r="AR38" s="61">
        <v>2</v>
      </c>
      <c r="AS38" s="62">
        <f t="shared" si="16"/>
        <v>32.435939020434638</v>
      </c>
      <c r="AT38" s="63">
        <f t="shared" si="17"/>
        <v>3.4792670370840781</v>
      </c>
      <c r="AU38" s="70"/>
      <c r="AV38" s="70"/>
      <c r="AW38" s="71"/>
      <c r="AX38" s="46"/>
      <c r="AY38" s="46"/>
      <c r="AZ38" s="80"/>
      <c r="BA38" s="60">
        <v>2587</v>
      </c>
      <c r="BB38" s="61">
        <v>7</v>
      </c>
      <c r="BC38" s="62">
        <f t="shared" si="9"/>
        <v>270.58368766911479</v>
      </c>
      <c r="BD38" s="63">
        <f t="shared" si="10"/>
        <v>5.6005814318395126</v>
      </c>
      <c r="BE38" s="70"/>
      <c r="BF38" s="70"/>
      <c r="BG38" s="71"/>
      <c r="BH38" s="46"/>
      <c r="BI38" s="46"/>
      <c r="BJ38" s="80"/>
      <c r="BK38" s="60">
        <v>14922</v>
      </c>
      <c r="BL38" s="61">
        <v>0.01</v>
      </c>
      <c r="BM38" s="69">
        <f t="shared" si="19"/>
        <v>6.7015145422865574E-2</v>
      </c>
      <c r="BN38" s="63">
        <f t="shared" si="0"/>
        <v>-2.7028366340493224</v>
      </c>
      <c r="BO38" s="70"/>
      <c r="BP38" s="70"/>
      <c r="BQ38" s="71"/>
      <c r="BR38" s="46"/>
      <c r="BS38" s="46"/>
      <c r="BT38" s="79"/>
      <c r="BU38" s="60">
        <v>6662</v>
      </c>
      <c r="BV38" s="61">
        <v>0.01</v>
      </c>
      <c r="BW38" s="69">
        <f t="shared" si="12"/>
        <v>0.15010507355148606</v>
      </c>
      <c r="BX38" s="63">
        <f t="shared" si="13"/>
        <v>-1.8964197397714877</v>
      </c>
      <c r="BY38" s="70"/>
      <c r="BZ38" s="70"/>
      <c r="CA38" s="71"/>
      <c r="CB38" s="46"/>
      <c r="CC38" s="46"/>
      <c r="CD38" s="80"/>
      <c r="CE38" s="60">
        <v>2337</v>
      </c>
      <c r="CF38" s="61">
        <v>5</v>
      </c>
      <c r="CG38" s="69">
        <f t="shared" si="14"/>
        <v>213.94950791613181</v>
      </c>
      <c r="CH38" s="63">
        <f t="shared" si="15"/>
        <v>5.3657400428654709</v>
      </c>
      <c r="CI38" s="70"/>
      <c r="CJ38" s="70"/>
      <c r="CK38" s="71"/>
      <c r="CL38" s="46"/>
      <c r="CM38" s="46"/>
      <c r="CN38" s="66"/>
    </row>
    <row r="39" spans="1:92" ht="15.6" thickTop="1" thickBot="1" x14ac:dyDescent="0.35">
      <c r="A39" s="50">
        <v>2021</v>
      </c>
      <c r="B39" s="51"/>
      <c r="C39" s="52">
        <v>654972</v>
      </c>
      <c r="D39" s="50">
        <v>10</v>
      </c>
      <c r="E39" s="26">
        <f t="shared" si="1"/>
        <v>1.5267828243039396</v>
      </c>
      <c r="F39" s="53">
        <f t="shared" si="2"/>
        <v>0.42316279235221382</v>
      </c>
      <c r="G39" s="54"/>
      <c r="H39" s="54"/>
      <c r="I39" s="55"/>
      <c r="J39" s="30"/>
      <c r="K39" s="30"/>
      <c r="L39" s="56"/>
      <c r="M39" s="52">
        <v>322900</v>
      </c>
      <c r="N39" s="50">
        <v>7</v>
      </c>
      <c r="O39" s="57">
        <f t="shared" si="3"/>
        <v>2.1678538247135335</v>
      </c>
      <c r="P39" s="53">
        <f t="shared" si="4"/>
        <v>0.7737376572791751</v>
      </c>
      <c r="Q39" s="58"/>
      <c r="R39" s="58"/>
      <c r="S39" s="59"/>
      <c r="T39" s="30"/>
      <c r="U39" s="30"/>
      <c r="V39" s="56"/>
      <c r="W39" s="52">
        <v>332072</v>
      </c>
      <c r="X39" s="50">
        <v>3</v>
      </c>
      <c r="Y39" s="57">
        <f>(X39/W39)*100000</f>
        <v>0.90341853573923736</v>
      </c>
      <c r="Z39" s="53">
        <f>LN(Y39)</f>
        <v>-0.10156933821781647</v>
      </c>
      <c r="AA39" s="58"/>
      <c r="AB39" s="58"/>
      <c r="AC39" s="59"/>
      <c r="AD39" s="30"/>
      <c r="AE39" s="30"/>
      <c r="AF39" s="76"/>
      <c r="AG39" s="60">
        <v>15076</v>
      </c>
      <c r="AH39" s="61">
        <v>1</v>
      </c>
      <c r="AI39" s="62">
        <f t="shared" si="7"/>
        <v>6.6330591668877679</v>
      </c>
      <c r="AJ39" s="63">
        <f t="shared" si="8"/>
        <v>1.8920661105832022</v>
      </c>
      <c r="AK39" s="64"/>
      <c r="AL39" s="64"/>
      <c r="AM39" s="65"/>
      <c r="AN39" s="49"/>
      <c r="AO39" s="49"/>
      <c r="AP39" s="81"/>
      <c r="AQ39" s="60">
        <v>6587</v>
      </c>
      <c r="AR39" s="61">
        <v>3</v>
      </c>
      <c r="AS39" s="62">
        <f t="shared" si="16"/>
        <v>45.544253833308026</v>
      </c>
      <c r="AT39" s="63">
        <f t="shared" si="17"/>
        <v>3.818684464997645</v>
      </c>
      <c r="AU39" s="70"/>
      <c r="AV39" s="70"/>
      <c r="AW39" s="71"/>
      <c r="AX39" s="49"/>
      <c r="AY39" s="49"/>
      <c r="AZ39" s="82"/>
      <c r="BA39" s="60">
        <v>2667</v>
      </c>
      <c r="BB39" s="61">
        <v>3</v>
      </c>
      <c r="BC39" s="62">
        <f t="shared" si="9"/>
        <v>112.48593925759282</v>
      </c>
      <c r="BD39" s="63">
        <f t="shared" si="10"/>
        <v>4.722828229456324</v>
      </c>
      <c r="BE39" s="70"/>
      <c r="BF39" s="70"/>
      <c r="BG39" s="71"/>
      <c r="BH39" s="49"/>
      <c r="BI39" s="49"/>
      <c r="BJ39" s="82"/>
      <c r="BK39" s="60">
        <v>15560</v>
      </c>
      <c r="BL39" s="61">
        <v>0.01</v>
      </c>
      <c r="BM39" s="69">
        <f t="shared" si="19"/>
        <v>6.4267352185089971E-2</v>
      </c>
      <c r="BN39" s="63">
        <f t="shared" si="0"/>
        <v>-2.7447035187502458</v>
      </c>
      <c r="BO39" s="70"/>
      <c r="BP39" s="70"/>
      <c r="BQ39" s="71"/>
      <c r="BR39" s="49"/>
      <c r="BS39" s="49"/>
      <c r="BT39" s="81"/>
      <c r="BU39" s="60">
        <v>7016</v>
      </c>
      <c r="BV39" s="61">
        <v>2</v>
      </c>
      <c r="BW39" s="69">
        <f t="shared" si="12"/>
        <v>28.506271379703534</v>
      </c>
      <c r="BX39" s="63">
        <f t="shared" si="13"/>
        <v>3.3501241114781548</v>
      </c>
      <c r="BY39" s="70"/>
      <c r="BZ39" s="70"/>
      <c r="CA39" s="71"/>
      <c r="CB39" s="49"/>
      <c r="CC39" s="49"/>
      <c r="CD39" s="82"/>
      <c r="CE39" s="60">
        <v>2384</v>
      </c>
      <c r="CF39" s="61">
        <v>1</v>
      </c>
      <c r="CG39" s="69">
        <f t="shared" si="14"/>
        <v>41.946308724832214</v>
      </c>
      <c r="CH39" s="63">
        <f t="shared" si="15"/>
        <v>3.7363904367849878</v>
      </c>
      <c r="CI39" s="70"/>
      <c r="CJ39" s="70"/>
      <c r="CK39" s="71"/>
      <c r="CL39" s="49"/>
      <c r="CM39" s="49"/>
      <c r="CN39" s="66"/>
    </row>
    <row r="40" spans="1:92" ht="15.6" thickTop="1" thickBot="1" x14ac:dyDescent="0.35">
      <c r="A40" s="23">
        <v>2016</v>
      </c>
      <c r="B40" s="24" t="s">
        <v>31</v>
      </c>
      <c r="C40" s="25">
        <v>1485416</v>
      </c>
      <c r="D40" s="23">
        <v>48</v>
      </c>
      <c r="E40" s="26">
        <f t="shared" si="1"/>
        <v>3.2314180000753998</v>
      </c>
      <c r="F40" s="27">
        <f t="shared" si="2"/>
        <v>1.1729210502094407</v>
      </c>
      <c r="G40" s="28">
        <v>8.14E-2</v>
      </c>
      <c r="H40" s="28">
        <v>0.20530000000000001</v>
      </c>
      <c r="I40" s="29">
        <v>0.20449999999999999</v>
      </c>
      <c r="J40" s="30">
        <f>(EXP(-0.068)-1)*100</f>
        <v>-6.5739526422786465</v>
      </c>
      <c r="K40" s="30">
        <f>(EXP(0.231)-1)*100</f>
        <v>25.98592394492314</v>
      </c>
      <c r="L40" s="30">
        <f>(EXP(G40)-1)*100</f>
        <v>8.48047316866265</v>
      </c>
      <c r="M40" s="25">
        <v>733236</v>
      </c>
      <c r="N40" s="23">
        <v>26</v>
      </c>
      <c r="O40" s="26">
        <f t="shared" si="3"/>
        <v>3.5459251864338359</v>
      </c>
      <c r="P40" s="27">
        <f t="shared" si="4"/>
        <v>1.2657991094130472</v>
      </c>
      <c r="Q40" s="31">
        <v>8.3099999999999993E-2</v>
      </c>
      <c r="R40" s="31">
        <v>0.1996</v>
      </c>
      <c r="S40" s="32">
        <v>0.2082</v>
      </c>
      <c r="T40" s="30">
        <f>(EXP(-0.071)-1)*100</f>
        <v>-6.8538107872407883</v>
      </c>
      <c r="U40" s="30">
        <f>(EXP(0.237)-1)*100</f>
        <v>26.744111777528357</v>
      </c>
      <c r="V40" s="30">
        <f>(EXP(Q40)-1)*100</f>
        <v>8.6650468161983074</v>
      </c>
      <c r="W40" s="25">
        <v>752180</v>
      </c>
      <c r="X40" s="23">
        <v>22</v>
      </c>
      <c r="Y40" s="26">
        <f t="shared" si="5"/>
        <v>2.9248318221702254</v>
      </c>
      <c r="Z40" s="27">
        <f t="shared" si="6"/>
        <v>1.0732369823368815</v>
      </c>
      <c r="AA40" s="31">
        <v>8.0299999999999996E-2</v>
      </c>
      <c r="AB40" s="31">
        <v>0.20330000000000001</v>
      </c>
      <c r="AC40" s="32">
        <v>0.2059</v>
      </c>
      <c r="AD40" s="30">
        <f>(EXP(-0.067)-1)*100</f>
        <v>-6.4804798663223417</v>
      </c>
      <c r="AE40" s="30">
        <f>(EXP(0.228)-1)*100</f>
        <v>25.608532543234407</v>
      </c>
      <c r="AF40" s="72">
        <f>(EXP(AA40)-1)*100</f>
        <v>8.3612102548054281</v>
      </c>
      <c r="AG40" s="33">
        <v>40407</v>
      </c>
      <c r="AH40" s="34">
        <v>0.01</v>
      </c>
      <c r="AI40" s="41">
        <f t="shared" si="7"/>
        <v>2.4748187195287947E-2</v>
      </c>
      <c r="AJ40" s="36">
        <f t="shared" si="8"/>
        <v>-3.6990030372847875</v>
      </c>
      <c r="AK40" s="37">
        <v>0.31290000000000001</v>
      </c>
      <c r="AL40" s="37">
        <v>-0.19409999999999999</v>
      </c>
      <c r="AM40" s="38">
        <v>0.68759999999999999</v>
      </c>
      <c r="AN40" s="39">
        <f>(EXP(-1.695) - 1) * 100</f>
        <v>-81.640077097228215</v>
      </c>
      <c r="AO40" s="39">
        <f>(EXP(2.32) - 1) * 100</f>
        <v>917.56743060733334</v>
      </c>
      <c r="AP40" s="73">
        <f>(EXP(AK40)-1)*100</f>
        <v>36.738478571188217</v>
      </c>
      <c r="AQ40" s="33">
        <v>21971</v>
      </c>
      <c r="AR40" s="34">
        <v>8</v>
      </c>
      <c r="AS40" s="41">
        <f t="shared" si="16"/>
        <v>36.411633516908651</v>
      </c>
      <c r="AT40" s="36">
        <f t="shared" si="17"/>
        <v>3.5948883256936939</v>
      </c>
      <c r="AU40" s="42">
        <v>-9.9699999999999997E-2</v>
      </c>
      <c r="AV40" s="42">
        <v>0.34570000000000001</v>
      </c>
      <c r="AW40" s="43">
        <v>0.12889999999999999</v>
      </c>
      <c r="AX40" s="39">
        <f>(EXP(-0.245) - 1) * 100</f>
        <v>-21.729546175813187</v>
      </c>
      <c r="AY40" s="39">
        <f>(EXP(0.045) - 1) * 100</f>
        <v>4.6027859908716939</v>
      </c>
      <c r="AZ40" s="73">
        <f>(EXP(AU40)-1)*100</f>
        <v>-9.4891090016873783</v>
      </c>
      <c r="BA40" s="33">
        <v>10464</v>
      </c>
      <c r="BB40" s="34">
        <v>18</v>
      </c>
      <c r="BC40" s="41">
        <f t="shared" si="9"/>
        <v>172.01834862385323</v>
      </c>
      <c r="BD40" s="36">
        <f t="shared" si="10"/>
        <v>5.1476011491694136</v>
      </c>
      <c r="BE40" s="42">
        <v>8.8900000000000007E-2</v>
      </c>
      <c r="BF40" s="42">
        <v>0.13389999999999999</v>
      </c>
      <c r="BG40" s="43">
        <v>0.25380000000000003</v>
      </c>
      <c r="BH40" s="39">
        <f>(EXP(-0.096) - 1) * 100</f>
        <v>-9.1535983931293803</v>
      </c>
      <c r="BI40" s="39">
        <f>(EXP(0.274) - 1) * 100</f>
        <v>31.521480223872445</v>
      </c>
      <c r="BJ40" s="73">
        <f>(EXP(BE40)-1)*100</f>
        <v>9.2971353725918693</v>
      </c>
      <c r="BK40" s="33">
        <v>43201</v>
      </c>
      <c r="BL40" s="34">
        <v>1</v>
      </c>
      <c r="BM40" s="45">
        <f>(BL40/BK40)*100000</f>
        <v>2.31476123237888</v>
      </c>
      <c r="BN40" s="36">
        <f>LN(BM40)</f>
        <v>0.83930654285779283</v>
      </c>
      <c r="BO40" s="42">
        <v>-0.2366</v>
      </c>
      <c r="BP40" s="42">
        <v>-0.21060000000000001</v>
      </c>
      <c r="BQ40" s="43">
        <v>0.73640000000000005</v>
      </c>
      <c r="BR40" s="39">
        <f>(EXP(-2.056) - 1) * 100</f>
        <v>-87.203519323297115</v>
      </c>
      <c r="BS40" s="39">
        <f>(EXP(1.583) - 1) * 100</f>
        <v>386.95425478359925</v>
      </c>
      <c r="BT40" s="73">
        <f>(EXP(BO40)-1)*100</f>
        <v>-21.069305233946345</v>
      </c>
      <c r="BU40" s="33">
        <v>23592</v>
      </c>
      <c r="BV40" s="34">
        <v>7</v>
      </c>
      <c r="BW40" s="45">
        <f t="shared" si="12"/>
        <v>29.671074940657849</v>
      </c>
      <c r="BX40" s="36">
        <f t="shared" si="13"/>
        <v>3.3901726635304295</v>
      </c>
      <c r="BY40" s="42">
        <v>-7.8E-2</v>
      </c>
      <c r="BZ40" s="42">
        <v>0.18229999999999999</v>
      </c>
      <c r="CA40" s="43">
        <v>0.2195</v>
      </c>
      <c r="CB40" s="39">
        <f>(EXP(-0.227) - 1) * 100</f>
        <v>-20.307921770986038</v>
      </c>
      <c r="CC40" s="39">
        <f>(EXP(0.071) - 1) * 100</f>
        <v>7.3581225868357469</v>
      </c>
      <c r="CD40" s="73">
        <f>(EXP(BY40)-1)*100</f>
        <v>-7.5035573456460725</v>
      </c>
      <c r="CE40" s="33">
        <v>10641</v>
      </c>
      <c r="CF40" s="34">
        <v>14</v>
      </c>
      <c r="CG40" s="45">
        <f t="shared" si="14"/>
        <v>131.56658208814963</v>
      </c>
      <c r="CH40" s="36">
        <f>LN(CG40)</f>
        <v>4.8795130511437561</v>
      </c>
      <c r="CI40" s="42">
        <v>8.7999999999999995E-2</v>
      </c>
      <c r="CJ40" s="42">
        <v>9.6600000000000005E-2</v>
      </c>
      <c r="CK40" s="43">
        <v>0.28310000000000002</v>
      </c>
      <c r="CL40" s="39">
        <f>(EXP(-0.109) - 1) * 100</f>
        <v>-10.326958250176455</v>
      </c>
      <c r="CM40" s="39">
        <f>(EXP(0.285) - 1) * 100</f>
        <v>32.97620281214737</v>
      </c>
      <c r="CN40" s="40">
        <f t="shared" ref="CN40" si="27">(EXP(CI40)-1)*100</f>
        <v>9.1988122028197505</v>
      </c>
    </row>
    <row r="41" spans="1:92" ht="15.6" thickTop="1" thickBot="1" x14ac:dyDescent="0.35">
      <c r="A41" s="23">
        <v>2017</v>
      </c>
      <c r="B41" s="24"/>
      <c r="C41" s="25">
        <v>1498537</v>
      </c>
      <c r="D41" s="23">
        <v>62</v>
      </c>
      <c r="E41" s="26">
        <f t="shared" si="1"/>
        <v>4.1373686468869302</v>
      </c>
      <c r="F41" s="27">
        <f t="shared" si="2"/>
        <v>1.4200599932232669</v>
      </c>
      <c r="G41" s="28"/>
      <c r="H41" s="28"/>
      <c r="I41" s="29"/>
      <c r="J41" s="30"/>
      <c r="K41" s="30"/>
      <c r="L41" s="30"/>
      <c r="M41" s="25">
        <v>740135</v>
      </c>
      <c r="N41" s="23">
        <v>36</v>
      </c>
      <c r="O41" s="26">
        <f t="shared" si="3"/>
        <v>4.8639775176150302</v>
      </c>
      <c r="P41" s="27">
        <f t="shared" si="4"/>
        <v>1.5818565224523262</v>
      </c>
      <c r="Q41" s="31"/>
      <c r="R41" s="31"/>
      <c r="S41" s="32"/>
      <c r="T41" s="30"/>
      <c r="U41" s="30"/>
      <c r="V41" s="30"/>
      <c r="W41" s="25">
        <v>758402</v>
      </c>
      <c r="X41" s="23">
        <v>26</v>
      </c>
      <c r="Y41" s="26">
        <f t="shared" si="5"/>
        <v>3.4282610014214097</v>
      </c>
      <c r="Z41" s="27">
        <f t="shared" si="6"/>
        <v>1.2320531359414368</v>
      </c>
      <c r="AA41" s="31"/>
      <c r="AB41" s="31"/>
      <c r="AC41" s="32"/>
      <c r="AD41" s="30"/>
      <c r="AE41" s="30"/>
      <c r="AF41" s="72"/>
      <c r="AG41" s="33">
        <v>42293</v>
      </c>
      <c r="AH41" s="34">
        <v>2</v>
      </c>
      <c r="AI41" s="41">
        <f t="shared" si="7"/>
        <v>4.728914950464616</v>
      </c>
      <c r="AJ41" s="36">
        <f t="shared" si="8"/>
        <v>1.5536957788234669</v>
      </c>
      <c r="AK41" s="37"/>
      <c r="AL41" s="37"/>
      <c r="AM41" s="38"/>
      <c r="AN41" s="46"/>
      <c r="AO41" s="46"/>
      <c r="AP41" s="74"/>
      <c r="AQ41" s="33">
        <v>22806</v>
      </c>
      <c r="AR41" s="34">
        <v>8</v>
      </c>
      <c r="AS41" s="41">
        <f t="shared" si="16"/>
        <v>35.078488117162152</v>
      </c>
      <c r="AT41" s="36">
        <f t="shared" si="17"/>
        <v>3.5575880684327608</v>
      </c>
      <c r="AU41" s="47"/>
      <c r="AV41" s="47"/>
      <c r="AW41" s="48"/>
      <c r="AX41" s="46"/>
      <c r="AY41" s="46"/>
      <c r="AZ41" s="74"/>
      <c r="BA41" s="33">
        <v>11022</v>
      </c>
      <c r="BB41" s="34">
        <v>26</v>
      </c>
      <c r="BC41" s="41">
        <f t="shared" si="9"/>
        <v>235.89185265831975</v>
      </c>
      <c r="BD41" s="36">
        <f t="shared" si="10"/>
        <v>5.4633734485485297</v>
      </c>
      <c r="BE41" s="47"/>
      <c r="BF41" s="47"/>
      <c r="BG41" s="48"/>
      <c r="BH41" s="46"/>
      <c r="BI41" s="46"/>
      <c r="BJ41" s="74"/>
      <c r="BK41" s="33">
        <v>44722</v>
      </c>
      <c r="BL41" s="34">
        <v>0.01</v>
      </c>
      <c r="BM41" s="45">
        <f>(BL41/BK41)*100000</f>
        <v>2.2360359554581641E-2</v>
      </c>
      <c r="BN41" s="36">
        <f>LN(BM41)</f>
        <v>-3.8004655505659537</v>
      </c>
      <c r="BO41" s="47"/>
      <c r="BP41" s="47"/>
      <c r="BQ41" s="48"/>
      <c r="BR41" s="46"/>
      <c r="BS41" s="46"/>
      <c r="BT41" s="74"/>
      <c r="BU41" s="33">
        <v>24419</v>
      </c>
      <c r="BV41" s="34">
        <v>8</v>
      </c>
      <c r="BW41" s="45">
        <f t="shared" si="12"/>
        <v>32.76137433965355</v>
      </c>
      <c r="BX41" s="36">
        <f t="shared" si="13"/>
        <v>3.4892502098647946</v>
      </c>
      <c r="BY41" s="47"/>
      <c r="BZ41" s="47"/>
      <c r="CA41" s="48"/>
      <c r="CB41" s="46"/>
      <c r="CC41" s="46"/>
      <c r="CD41" s="74"/>
      <c r="CE41" s="33">
        <v>11170</v>
      </c>
      <c r="CF41" s="34">
        <v>17</v>
      </c>
      <c r="CG41" s="45">
        <f t="shared" si="14"/>
        <v>152.1933751119069</v>
      </c>
      <c r="CH41" s="36">
        <f t="shared" si="15"/>
        <v>5.025151916963198</v>
      </c>
      <c r="CI41" s="47"/>
      <c r="CJ41" s="47"/>
      <c r="CK41" s="48"/>
      <c r="CL41" s="46"/>
      <c r="CM41" s="46"/>
      <c r="CN41" s="40"/>
    </row>
    <row r="42" spans="1:92" ht="15.6" thickTop="1" thickBot="1" x14ac:dyDescent="0.35">
      <c r="A42" s="23">
        <v>2018</v>
      </c>
      <c r="B42" s="24"/>
      <c r="C42" s="25">
        <v>1511702</v>
      </c>
      <c r="D42" s="23">
        <v>44</v>
      </c>
      <c r="E42" s="26">
        <f t="shared" si="1"/>
        <v>2.9106265652886614</v>
      </c>
      <c r="F42" s="27">
        <f t="shared" si="2"/>
        <v>1.0683683725387401</v>
      </c>
      <c r="G42" s="28"/>
      <c r="H42" s="28"/>
      <c r="I42" s="29"/>
      <c r="J42" s="30"/>
      <c r="K42" s="30"/>
      <c r="L42" s="30"/>
      <c r="M42" s="25">
        <v>747064</v>
      </c>
      <c r="N42" s="23">
        <v>25</v>
      </c>
      <c r="O42" s="26">
        <f t="shared" si="3"/>
        <v>3.3464335050276821</v>
      </c>
      <c r="P42" s="27">
        <f t="shared" si="4"/>
        <v>1.2078951533559736</v>
      </c>
      <c r="Q42" s="31"/>
      <c r="R42" s="31"/>
      <c r="S42" s="32"/>
      <c r="T42" s="30"/>
      <c r="U42" s="30"/>
      <c r="V42" s="30"/>
      <c r="W42" s="25">
        <v>764638</v>
      </c>
      <c r="X42" s="23">
        <v>19</v>
      </c>
      <c r="Y42" s="26">
        <f t="shared" si="5"/>
        <v>2.484835961592283</v>
      </c>
      <c r="Z42" s="27">
        <f t="shared" si="6"/>
        <v>0.91020664593806477</v>
      </c>
      <c r="AA42" s="31"/>
      <c r="AB42" s="31"/>
      <c r="AC42" s="32"/>
      <c r="AD42" s="30"/>
      <c r="AE42" s="30"/>
      <c r="AF42" s="72"/>
      <c r="AG42" s="33">
        <v>44209</v>
      </c>
      <c r="AH42" s="34">
        <v>0.01</v>
      </c>
      <c r="AI42" s="41">
        <f t="shared" si="7"/>
        <v>2.2619828541699655E-2</v>
      </c>
      <c r="AJ42" s="36">
        <f t="shared" si="8"/>
        <v>-3.7889283882654343</v>
      </c>
      <c r="AK42" s="37"/>
      <c r="AL42" s="37"/>
      <c r="AM42" s="38"/>
      <c r="AN42" s="46"/>
      <c r="AO42" s="46"/>
      <c r="AP42" s="74"/>
      <c r="AQ42" s="33">
        <v>23707</v>
      </c>
      <c r="AR42" s="34">
        <v>9</v>
      </c>
      <c r="AS42" s="41">
        <f t="shared" si="16"/>
        <v>37.963470704855105</v>
      </c>
      <c r="AT42" s="36">
        <f t="shared" si="17"/>
        <v>3.6366244001432153</v>
      </c>
      <c r="AU42" s="47"/>
      <c r="AV42" s="47"/>
      <c r="AW42" s="48"/>
      <c r="AX42" s="46"/>
      <c r="AY42" s="46"/>
      <c r="AZ42" s="74"/>
      <c r="BA42" s="33">
        <v>11611</v>
      </c>
      <c r="BB42" s="34">
        <v>16</v>
      </c>
      <c r="BC42" s="41">
        <f t="shared" si="9"/>
        <v>137.80036172594953</v>
      </c>
      <c r="BD42" s="36">
        <f t="shared" si="10"/>
        <v>4.9258059835830039</v>
      </c>
      <c r="BE42" s="47"/>
      <c r="BF42" s="47"/>
      <c r="BG42" s="48"/>
      <c r="BH42" s="46"/>
      <c r="BI42" s="46"/>
      <c r="BJ42" s="74"/>
      <c r="BK42" s="33">
        <v>46253</v>
      </c>
      <c r="BL42" s="34">
        <v>1</v>
      </c>
      <c r="BM42" s="45">
        <f t="shared" si="19"/>
        <v>2.1620219229022983</v>
      </c>
      <c r="BN42" s="36">
        <f t="shared" si="0"/>
        <v>0.77104385926842678</v>
      </c>
      <c r="BO42" s="47"/>
      <c r="BP42" s="47"/>
      <c r="BQ42" s="48"/>
      <c r="BR42" s="46"/>
      <c r="BS42" s="46"/>
      <c r="BT42" s="74"/>
      <c r="BU42" s="33">
        <v>25290</v>
      </c>
      <c r="BV42" s="34">
        <v>5</v>
      </c>
      <c r="BW42" s="45">
        <f t="shared" si="12"/>
        <v>19.770660340055358</v>
      </c>
      <c r="BX42" s="36">
        <f t="shared" si="13"/>
        <v>2.9841990377403178</v>
      </c>
      <c r="BY42" s="47"/>
      <c r="BZ42" s="47"/>
      <c r="CA42" s="48"/>
      <c r="CB42" s="46"/>
      <c r="CC42" s="46"/>
      <c r="CD42" s="74"/>
      <c r="CE42" s="33">
        <v>11713</v>
      </c>
      <c r="CF42" s="34">
        <v>13</v>
      </c>
      <c r="CG42" s="45">
        <f t="shared" si="14"/>
        <v>110.98779134295228</v>
      </c>
      <c r="CH42" s="36">
        <f t="shared" si="15"/>
        <v>4.7094202073618909</v>
      </c>
      <c r="CI42" s="47"/>
      <c r="CJ42" s="47"/>
      <c r="CK42" s="48"/>
      <c r="CL42" s="46"/>
      <c r="CM42" s="46"/>
      <c r="CN42" s="40"/>
    </row>
    <row r="43" spans="1:92" ht="15.6" thickTop="1" thickBot="1" x14ac:dyDescent="0.35">
      <c r="A43" s="23">
        <v>2019</v>
      </c>
      <c r="B43" s="24"/>
      <c r="C43" s="25">
        <v>1525148</v>
      </c>
      <c r="D43" s="23">
        <v>87</v>
      </c>
      <c r="E43" s="26">
        <f t="shared" si="1"/>
        <v>5.7043644288947695</v>
      </c>
      <c r="F43" s="27">
        <f t="shared" si="2"/>
        <v>1.7412315711298023</v>
      </c>
      <c r="G43" s="28"/>
      <c r="H43" s="28"/>
      <c r="I43" s="29"/>
      <c r="J43" s="30"/>
      <c r="K43" s="30"/>
      <c r="L43" s="30"/>
      <c r="M43" s="25">
        <v>754167</v>
      </c>
      <c r="N43" s="23">
        <v>49</v>
      </c>
      <c r="O43" s="26">
        <f t="shared" si="3"/>
        <v>6.4972346973548296</v>
      </c>
      <c r="P43" s="27">
        <f t="shared" si="4"/>
        <v>1.8713766552038937</v>
      </c>
      <c r="Q43" s="31"/>
      <c r="R43" s="31"/>
      <c r="S43" s="32"/>
      <c r="T43" s="30"/>
      <c r="U43" s="30"/>
      <c r="V43" s="30"/>
      <c r="W43" s="25">
        <v>770981</v>
      </c>
      <c r="X43" s="23">
        <v>38</v>
      </c>
      <c r="Y43" s="26">
        <f t="shared" si="5"/>
        <v>4.9287855342738665</v>
      </c>
      <c r="Z43" s="27">
        <f t="shared" si="6"/>
        <v>1.5950926157751624</v>
      </c>
      <c r="AA43" s="31"/>
      <c r="AB43" s="31"/>
      <c r="AC43" s="32"/>
      <c r="AD43" s="30"/>
      <c r="AE43" s="30"/>
      <c r="AF43" s="72"/>
      <c r="AG43" s="33">
        <v>46168</v>
      </c>
      <c r="AH43" s="34">
        <v>2</v>
      </c>
      <c r="AI43" s="41">
        <f t="shared" si="7"/>
        <v>4.3320048518454346</v>
      </c>
      <c r="AJ43" s="36">
        <f t="shared" si="8"/>
        <v>1.4660304491393714</v>
      </c>
      <c r="AK43" s="37"/>
      <c r="AL43" s="37"/>
      <c r="AM43" s="38"/>
      <c r="AN43" s="46"/>
      <c r="AO43" s="46"/>
      <c r="AP43" s="74"/>
      <c r="AQ43" s="33">
        <v>24710</v>
      </c>
      <c r="AR43" s="34">
        <v>9</v>
      </c>
      <c r="AS43" s="41">
        <f t="shared" si="16"/>
        <v>36.422501011736138</v>
      </c>
      <c r="AT43" s="36">
        <f t="shared" si="17"/>
        <v>3.5951867433237918</v>
      </c>
      <c r="AU43" s="47"/>
      <c r="AV43" s="47"/>
      <c r="AW43" s="48"/>
      <c r="AX43" s="46"/>
      <c r="AY43" s="46"/>
      <c r="AZ43" s="74"/>
      <c r="BA43" s="33">
        <v>12208</v>
      </c>
      <c r="BB43" s="34">
        <v>38</v>
      </c>
      <c r="BC43" s="41">
        <f t="shared" si="9"/>
        <v>311.27129750982959</v>
      </c>
      <c r="BD43" s="36">
        <f t="shared" si="10"/>
        <v>5.7406648711723758</v>
      </c>
      <c r="BE43" s="47"/>
      <c r="BF43" s="47"/>
      <c r="BG43" s="48"/>
      <c r="BH43" s="46"/>
      <c r="BI43" s="46"/>
      <c r="BJ43" s="74"/>
      <c r="BK43" s="33">
        <v>47814</v>
      </c>
      <c r="BL43" s="34">
        <v>1</v>
      </c>
      <c r="BM43" s="45">
        <f t="shared" si="19"/>
        <v>2.0914376542435269</v>
      </c>
      <c r="BN43" s="36">
        <f t="shared" si="0"/>
        <v>0.73785170234442521</v>
      </c>
      <c r="BO43" s="47"/>
      <c r="BP43" s="47"/>
      <c r="BQ43" s="48"/>
      <c r="BR43" s="46"/>
      <c r="BS43" s="46"/>
      <c r="BT43" s="74"/>
      <c r="BU43" s="33">
        <v>26242</v>
      </c>
      <c r="BV43" s="34">
        <v>6</v>
      </c>
      <c r="BW43" s="45">
        <f t="shared" si="12"/>
        <v>22.864110967151895</v>
      </c>
      <c r="BX43" s="36">
        <f t="shared" si="13"/>
        <v>3.1295684745326224</v>
      </c>
      <c r="BY43" s="47"/>
      <c r="BZ43" s="47"/>
      <c r="CA43" s="48"/>
      <c r="CB43" s="46"/>
      <c r="CC43" s="46"/>
      <c r="CD43" s="74"/>
      <c r="CE43" s="33">
        <v>12261</v>
      </c>
      <c r="CF43" s="34">
        <v>31</v>
      </c>
      <c r="CG43" s="45">
        <f t="shared" si="14"/>
        <v>252.83418970720169</v>
      </c>
      <c r="CH43" s="36">
        <f t="shared" si="15"/>
        <v>5.5327338972229878</v>
      </c>
      <c r="CI43" s="47"/>
      <c r="CJ43" s="47"/>
      <c r="CK43" s="48"/>
      <c r="CL43" s="46"/>
      <c r="CM43" s="46"/>
      <c r="CN43" s="40"/>
    </row>
    <row r="44" spans="1:92" ht="15.6" thickTop="1" thickBot="1" x14ac:dyDescent="0.35">
      <c r="A44" s="23">
        <v>2020</v>
      </c>
      <c r="B44" s="24"/>
      <c r="C44" s="25">
        <v>1537886</v>
      </c>
      <c r="D44" s="23">
        <v>64</v>
      </c>
      <c r="E44" s="26">
        <f t="shared" si="1"/>
        <v>4.1615568384132509</v>
      </c>
      <c r="F44" s="27">
        <f t="shared" si="2"/>
        <v>1.4258892442660338</v>
      </c>
      <c r="G44" s="28"/>
      <c r="H44" s="28"/>
      <c r="I44" s="29"/>
      <c r="J44" s="30"/>
      <c r="K44" s="30"/>
      <c r="L44" s="30"/>
      <c r="M44" s="25">
        <v>761101</v>
      </c>
      <c r="N44" s="23">
        <v>35</v>
      </c>
      <c r="O44" s="26">
        <f t="shared" si="3"/>
        <v>4.5986012368923443</v>
      </c>
      <c r="P44" s="27">
        <f t="shared" si="4"/>
        <v>1.5257521783172283</v>
      </c>
      <c r="Q44" s="31"/>
      <c r="R44" s="31"/>
      <c r="S44" s="32"/>
      <c r="T44" s="30"/>
      <c r="U44" s="30"/>
      <c r="V44" s="30"/>
      <c r="W44" s="25">
        <v>776785</v>
      </c>
      <c r="X44" s="23">
        <v>29</v>
      </c>
      <c r="Y44" s="26">
        <f t="shared" si="5"/>
        <v>3.7333367662866817</v>
      </c>
      <c r="Z44" s="27">
        <f t="shared" si="6"/>
        <v>1.3173024091735919</v>
      </c>
      <c r="AA44" s="31"/>
      <c r="AB44" s="31"/>
      <c r="AC44" s="32"/>
      <c r="AD44" s="30"/>
      <c r="AE44" s="30"/>
      <c r="AF44" s="72"/>
      <c r="AG44" s="33">
        <v>48137</v>
      </c>
      <c r="AH44" s="34">
        <v>0.01</v>
      </c>
      <c r="AI44" s="41">
        <f t="shared" si="7"/>
        <v>2.0774040758667969E-2</v>
      </c>
      <c r="AJ44" s="36">
        <f t="shared" si="8"/>
        <v>-3.8740511121745924</v>
      </c>
      <c r="AK44" s="37"/>
      <c r="AL44" s="37"/>
      <c r="AM44" s="38"/>
      <c r="AN44" s="46"/>
      <c r="AO44" s="46"/>
      <c r="AP44" s="74"/>
      <c r="AQ44" s="33">
        <v>25812</v>
      </c>
      <c r="AR44" s="34">
        <v>5</v>
      </c>
      <c r="AS44" s="41">
        <f t="shared" si="16"/>
        <v>19.370835270416862</v>
      </c>
      <c r="AT44" s="36">
        <f t="shared" si="17"/>
        <v>2.9637685983485986</v>
      </c>
      <c r="AU44" s="47"/>
      <c r="AV44" s="47"/>
      <c r="AW44" s="48"/>
      <c r="AX44" s="46"/>
      <c r="AY44" s="46"/>
      <c r="AZ44" s="74"/>
      <c r="BA44" s="33">
        <v>12786</v>
      </c>
      <c r="BB44" s="34">
        <v>30</v>
      </c>
      <c r="BC44" s="41">
        <f t="shared" si="9"/>
        <v>234.63162834350069</v>
      </c>
      <c r="BD44" s="36">
        <f t="shared" si="10"/>
        <v>5.458016745305712</v>
      </c>
      <c r="BE44" s="47"/>
      <c r="BF44" s="47"/>
      <c r="BG44" s="48"/>
      <c r="BH44" s="46"/>
      <c r="BI44" s="46"/>
      <c r="BJ44" s="74"/>
      <c r="BK44" s="33">
        <v>49359</v>
      </c>
      <c r="BL44" s="34">
        <v>2</v>
      </c>
      <c r="BM44" s="45">
        <f t="shared" si="19"/>
        <v>4.0519459470410659</v>
      </c>
      <c r="BN44" s="36">
        <f t="shared" si="0"/>
        <v>1.3991972464754139</v>
      </c>
      <c r="BO44" s="47"/>
      <c r="BP44" s="47"/>
      <c r="BQ44" s="48"/>
      <c r="BR44" s="46"/>
      <c r="BS44" s="46"/>
      <c r="BT44" s="74"/>
      <c r="BU44" s="33">
        <v>27175</v>
      </c>
      <c r="BV44" s="34">
        <v>8</v>
      </c>
      <c r="BW44" s="45">
        <f t="shared" si="12"/>
        <v>29.438822447102119</v>
      </c>
      <c r="BX44" s="36">
        <f t="shared" si="13"/>
        <v>3.3823142946606541</v>
      </c>
      <c r="BY44" s="47"/>
      <c r="BZ44" s="47"/>
      <c r="CA44" s="48"/>
      <c r="CB44" s="46"/>
      <c r="CC44" s="46"/>
      <c r="CD44" s="74"/>
      <c r="CE44" s="33">
        <v>12702</v>
      </c>
      <c r="CF44" s="34">
        <v>18</v>
      </c>
      <c r="CG44" s="45">
        <f t="shared" si="14"/>
        <v>141.70996693434105</v>
      </c>
      <c r="CH44" s="36">
        <f t="shared" si="15"/>
        <v>4.9537824825034731</v>
      </c>
      <c r="CI44" s="47"/>
      <c r="CJ44" s="47"/>
      <c r="CK44" s="48"/>
      <c r="CL44" s="46"/>
      <c r="CM44" s="46"/>
      <c r="CN44" s="40"/>
    </row>
    <row r="45" spans="1:92" ht="15.6" thickTop="1" thickBot="1" x14ac:dyDescent="0.35">
      <c r="A45" s="23">
        <v>2021</v>
      </c>
      <c r="B45" s="24"/>
      <c r="C45" s="25">
        <v>1548514</v>
      </c>
      <c r="D45" s="23">
        <v>77</v>
      </c>
      <c r="E45" s="26">
        <f t="shared" si="1"/>
        <v>4.9725091281060427</v>
      </c>
      <c r="F45" s="27">
        <f>LN(E45)</f>
        <v>1.6039245674619609</v>
      </c>
      <c r="G45" s="28"/>
      <c r="H45" s="28"/>
      <c r="I45" s="29"/>
      <c r="J45" s="30"/>
      <c r="K45" s="30"/>
      <c r="L45" s="30"/>
      <c r="M45" s="25">
        <v>767204</v>
      </c>
      <c r="N45" s="23">
        <v>44</v>
      </c>
      <c r="O45" s="26">
        <f t="shared" si="3"/>
        <v>5.7351108701205931</v>
      </c>
      <c r="P45" s="27">
        <f t="shared" si="4"/>
        <v>1.7466070825863778</v>
      </c>
      <c r="Q45" s="31"/>
      <c r="R45" s="31"/>
      <c r="S45" s="32"/>
      <c r="T45" s="30"/>
      <c r="U45" s="30"/>
      <c r="V45" s="30"/>
      <c r="W45" s="25">
        <v>781310</v>
      </c>
      <c r="X45" s="23">
        <v>33</v>
      </c>
      <c r="Y45" s="26">
        <f t="shared" si="5"/>
        <v>4.2236756217122524</v>
      </c>
      <c r="Z45" s="27">
        <f t="shared" si="6"/>
        <v>1.4407057493529294</v>
      </c>
      <c r="AA45" s="31"/>
      <c r="AB45" s="31"/>
      <c r="AC45" s="32"/>
      <c r="AD45" s="30"/>
      <c r="AE45" s="30"/>
      <c r="AF45" s="72"/>
      <c r="AG45" s="33">
        <v>49994</v>
      </c>
      <c r="AH45" s="34">
        <v>1</v>
      </c>
      <c r="AI45" s="41">
        <f t="shared" si="7"/>
        <v>2.0002400288034563</v>
      </c>
      <c r="AJ45" s="36">
        <f t="shared" si="8"/>
        <v>0.69326718776052132</v>
      </c>
      <c r="AK45" s="37"/>
      <c r="AL45" s="37"/>
      <c r="AM45" s="38"/>
      <c r="AN45" s="49"/>
      <c r="AO45" s="49"/>
      <c r="AP45" s="75"/>
      <c r="AQ45" s="33">
        <v>26949</v>
      </c>
      <c r="AR45" s="34">
        <v>7</v>
      </c>
      <c r="AS45" s="41">
        <f t="shared" si="16"/>
        <v>25.974989795539724</v>
      </c>
      <c r="AT45" s="36">
        <f t="shared" si="17"/>
        <v>3.2571341441282256</v>
      </c>
      <c r="AU45" s="47"/>
      <c r="AV45" s="47"/>
      <c r="AW45" s="48"/>
      <c r="AX45" s="49"/>
      <c r="AY45" s="49"/>
      <c r="AZ45" s="75"/>
      <c r="BA45" s="33">
        <v>13241</v>
      </c>
      <c r="BB45" s="34">
        <v>36</v>
      </c>
      <c r="BC45" s="41">
        <f t="shared" si="9"/>
        <v>271.88278830904011</v>
      </c>
      <c r="BD45" s="36">
        <f t="shared" si="10"/>
        <v>5.6053710480865817</v>
      </c>
      <c r="BE45" s="47"/>
      <c r="BF45" s="47"/>
      <c r="BG45" s="48"/>
      <c r="BH45" s="49"/>
      <c r="BI45" s="49"/>
      <c r="BJ45" s="75"/>
      <c r="BK45" s="33">
        <v>50785</v>
      </c>
      <c r="BL45" s="34">
        <v>0.01</v>
      </c>
      <c r="BM45" s="45">
        <f>(BL45/BK45)*100000</f>
        <v>1.9690853598503495E-2</v>
      </c>
      <c r="BN45" s="36">
        <f>LN(BM45)</f>
        <v>-3.9276010353914645</v>
      </c>
      <c r="BO45" s="47"/>
      <c r="BP45" s="47"/>
      <c r="BQ45" s="48"/>
      <c r="BR45" s="49"/>
      <c r="BS45" s="49"/>
      <c r="BT45" s="75"/>
      <c r="BU45" s="33">
        <v>27980</v>
      </c>
      <c r="BV45" s="34">
        <v>5</v>
      </c>
      <c r="BW45" s="45">
        <f t="shared" si="12"/>
        <v>17.869907076483202</v>
      </c>
      <c r="BX45" s="36">
        <f t="shared" si="13"/>
        <v>2.8831181291848567</v>
      </c>
      <c r="BY45" s="47"/>
      <c r="BZ45" s="47"/>
      <c r="CA45" s="48"/>
      <c r="CB45" s="49"/>
      <c r="CC45" s="49"/>
      <c r="CD45" s="75"/>
      <c r="CE45" s="33">
        <v>12920</v>
      </c>
      <c r="CF45" s="34">
        <v>28</v>
      </c>
      <c r="CG45" s="45">
        <f t="shared" si="14"/>
        <v>216.71826625386998</v>
      </c>
      <c r="CH45" s="36">
        <f t="shared" si="15"/>
        <v>5.3785981978088397</v>
      </c>
      <c r="CI45" s="47"/>
      <c r="CJ45" s="47"/>
      <c r="CK45" s="48"/>
      <c r="CL45" s="49"/>
      <c r="CM45" s="49"/>
      <c r="CN45" s="40"/>
    </row>
    <row r="46" spans="1:92" ht="15" thickTop="1" x14ac:dyDescent="0.3"/>
    <row r="47" spans="1:92" x14ac:dyDescent="0.3">
      <c r="AX47" s="83"/>
      <c r="BQ47" s="83"/>
      <c r="CB47" s="83"/>
      <c r="CL47" s="83"/>
    </row>
    <row r="48" spans="1:92" x14ac:dyDescent="0.3">
      <c r="BH48" s="83"/>
    </row>
    <row r="51" spans="1:41" x14ac:dyDescent="0.3">
      <c r="A51" s="84" t="s">
        <v>32</v>
      </c>
      <c r="B51" s="84"/>
      <c r="C51" s="84"/>
      <c r="D51" s="84"/>
      <c r="E51" s="84" t="s">
        <v>33</v>
      </c>
      <c r="F51" s="84"/>
      <c r="G51" s="84"/>
      <c r="H51" s="84"/>
      <c r="I51" s="85" t="s">
        <v>34</v>
      </c>
      <c r="J51" s="85"/>
      <c r="K51" s="85"/>
      <c r="L51" s="85"/>
      <c r="M51" s="85" t="s">
        <v>35</v>
      </c>
      <c r="N51" s="85"/>
      <c r="O51" s="85"/>
      <c r="P51" s="85"/>
      <c r="Q51" s="86" t="s">
        <v>36</v>
      </c>
      <c r="R51" s="87"/>
      <c r="S51" s="87"/>
      <c r="T51" s="87"/>
      <c r="U51" s="87"/>
      <c r="V51" s="88"/>
      <c r="W51" s="86" t="s">
        <v>37</v>
      </c>
      <c r="X51" s="87"/>
      <c r="Y51" s="87"/>
      <c r="Z51" s="88"/>
      <c r="AA51" s="86" t="s">
        <v>38</v>
      </c>
      <c r="AB51" s="87"/>
      <c r="AC51" s="87"/>
      <c r="AD51" s="87"/>
      <c r="AE51" s="88"/>
      <c r="AF51" s="86" t="s">
        <v>39</v>
      </c>
      <c r="AG51" s="87"/>
      <c r="AH51" s="87"/>
      <c r="AI51" s="88"/>
      <c r="AJ51" s="86" t="s">
        <v>40</v>
      </c>
      <c r="AK51" s="87"/>
      <c r="AL51" s="87"/>
      <c r="AM51" s="87"/>
      <c r="AN51" s="87"/>
      <c r="AO51" s="89"/>
    </row>
    <row r="52" spans="1:41" x14ac:dyDescent="0.3">
      <c r="A52" s="85" t="s">
        <v>41</v>
      </c>
      <c r="B52" s="85" t="s">
        <v>42</v>
      </c>
      <c r="C52" s="85" t="s">
        <v>43</v>
      </c>
      <c r="D52" s="85" t="s">
        <v>44</v>
      </c>
      <c r="E52" s="85" t="s">
        <v>41</v>
      </c>
      <c r="F52" s="85" t="s">
        <v>42</v>
      </c>
      <c r="G52" s="85" t="s">
        <v>43</v>
      </c>
      <c r="H52" s="85" t="s">
        <v>44</v>
      </c>
      <c r="I52" s="85" t="s">
        <v>41</v>
      </c>
      <c r="J52" s="85" t="s">
        <v>42</v>
      </c>
      <c r="K52" s="85" t="s">
        <v>43</v>
      </c>
      <c r="L52" s="85" t="s">
        <v>44</v>
      </c>
      <c r="M52" s="85" t="s">
        <v>41</v>
      </c>
      <c r="N52" s="85" t="s">
        <v>42</v>
      </c>
      <c r="O52" s="85" t="s">
        <v>43</v>
      </c>
      <c r="P52" s="85" t="s">
        <v>44</v>
      </c>
      <c r="Q52" s="85" t="s">
        <v>41</v>
      </c>
      <c r="R52" s="85"/>
      <c r="S52" s="85"/>
      <c r="T52" s="85" t="s">
        <v>42</v>
      </c>
      <c r="U52" s="85" t="s">
        <v>43</v>
      </c>
      <c r="V52" s="85" t="s">
        <v>44</v>
      </c>
      <c r="W52" s="85" t="s">
        <v>41</v>
      </c>
      <c r="X52" s="85" t="s">
        <v>42</v>
      </c>
      <c r="Y52" s="85" t="s">
        <v>43</v>
      </c>
      <c r="Z52" s="85" t="s">
        <v>44</v>
      </c>
      <c r="AA52" s="85" t="s">
        <v>41</v>
      </c>
      <c r="AB52" s="85"/>
      <c r="AC52" s="85" t="s">
        <v>42</v>
      </c>
      <c r="AD52" s="85" t="s">
        <v>43</v>
      </c>
      <c r="AE52" s="85" t="s">
        <v>44</v>
      </c>
      <c r="AF52" s="85" t="s">
        <v>41</v>
      </c>
      <c r="AG52" s="85" t="s">
        <v>42</v>
      </c>
      <c r="AH52" s="85" t="s">
        <v>43</v>
      </c>
      <c r="AI52" s="85" t="s">
        <v>44</v>
      </c>
      <c r="AJ52" s="85" t="s">
        <v>41</v>
      </c>
      <c r="AK52" s="85"/>
      <c r="AL52" s="85" t="s">
        <v>42</v>
      </c>
      <c r="AM52" s="85" t="s">
        <v>43</v>
      </c>
      <c r="AN52" s="85" t="s">
        <v>44</v>
      </c>
    </row>
    <row r="53" spans="1:41" x14ac:dyDescent="0.3">
      <c r="A53" s="85" t="s">
        <v>45</v>
      </c>
      <c r="B53" s="85">
        <v>1</v>
      </c>
      <c r="C53" s="85">
        <v>9.7299999999999998E-2</v>
      </c>
      <c r="D53" s="85">
        <v>9.7299999999999998E-2</v>
      </c>
      <c r="E53" s="85" t="s">
        <v>45</v>
      </c>
      <c r="F53" s="85">
        <v>1</v>
      </c>
      <c r="G53" s="85">
        <v>0.14630000000000001</v>
      </c>
      <c r="H53" s="85">
        <v>0.14630000000000001</v>
      </c>
      <c r="I53" s="85" t="s">
        <v>45</v>
      </c>
      <c r="J53" s="85">
        <v>1</v>
      </c>
      <c r="K53" s="85">
        <v>3.6999999999999998E-2</v>
      </c>
      <c r="L53" s="85">
        <v>3.6999999999999998E-2</v>
      </c>
      <c r="M53" s="85" t="s">
        <v>45</v>
      </c>
      <c r="N53" s="85">
        <v>1</v>
      </c>
      <c r="O53" s="85">
        <v>3.3399999999999999E-2</v>
      </c>
      <c r="P53" s="85">
        <v>3.3399999999999999E-2</v>
      </c>
      <c r="Q53" s="85" t="s">
        <v>45</v>
      </c>
      <c r="R53" s="85"/>
      <c r="S53" s="85"/>
      <c r="T53" s="85">
        <v>1</v>
      </c>
      <c r="U53" s="85">
        <v>0.60170000000000001</v>
      </c>
      <c r="V53" s="85">
        <v>0.60170000000000001</v>
      </c>
      <c r="W53" s="85" t="s">
        <v>45</v>
      </c>
      <c r="X53" s="85">
        <v>1</v>
      </c>
      <c r="Y53" s="85">
        <v>0.21729999999999999</v>
      </c>
      <c r="Z53" s="85">
        <v>0.21729999999999999</v>
      </c>
      <c r="AA53" s="85" t="s">
        <v>45</v>
      </c>
      <c r="AB53" s="85"/>
      <c r="AC53" s="85">
        <v>1</v>
      </c>
      <c r="AD53" s="85">
        <v>2.5999999999999999E-2</v>
      </c>
      <c r="AE53" s="85">
        <v>2.5999999999999999E-2</v>
      </c>
      <c r="AF53" s="85" t="s">
        <v>45</v>
      </c>
      <c r="AG53" s="85">
        <v>1</v>
      </c>
      <c r="AH53" s="85">
        <v>0.24959999999999999</v>
      </c>
      <c r="AI53" s="85">
        <v>0.24959999999999999</v>
      </c>
      <c r="AJ53" s="85" t="s">
        <v>45</v>
      </c>
      <c r="AK53" s="85"/>
      <c r="AL53" s="85">
        <v>1</v>
      </c>
      <c r="AM53" s="85">
        <v>0.45119999999999999</v>
      </c>
      <c r="AN53" s="85">
        <v>0.45119999999999999</v>
      </c>
    </row>
    <row r="54" spans="1:41" x14ac:dyDescent="0.3">
      <c r="A54" s="85" t="s">
        <v>46</v>
      </c>
      <c r="B54" s="85">
        <v>4</v>
      </c>
      <c r="C54" s="85">
        <v>6.2799999999999995E-2</v>
      </c>
      <c r="D54" s="85">
        <v>1.5699999999999999E-2</v>
      </c>
      <c r="E54" s="85" t="s">
        <v>46</v>
      </c>
      <c r="F54" s="85">
        <v>4</v>
      </c>
      <c r="G54" s="85">
        <v>0.106</v>
      </c>
      <c r="H54" s="85">
        <v>2.6499999999999999E-2</v>
      </c>
      <c r="I54" s="85" t="s">
        <v>46</v>
      </c>
      <c r="J54" s="85">
        <v>4</v>
      </c>
      <c r="K54" s="85">
        <v>8.2100000000000006E-2</v>
      </c>
      <c r="L54" s="85">
        <v>2.0500000000000001E-2</v>
      </c>
      <c r="M54" s="85" t="s">
        <v>46</v>
      </c>
      <c r="N54" s="85">
        <v>4</v>
      </c>
      <c r="O54" s="85">
        <v>1E-4</v>
      </c>
      <c r="P54" s="90">
        <v>2.7100000000000001E-5</v>
      </c>
      <c r="Q54" s="85" t="s">
        <v>46</v>
      </c>
      <c r="R54" s="85"/>
      <c r="S54" s="85"/>
      <c r="T54" s="85">
        <v>4</v>
      </c>
      <c r="U54" s="85">
        <v>1.22</v>
      </c>
      <c r="V54" s="85">
        <v>0.30499999999999999</v>
      </c>
      <c r="W54" s="85" t="s">
        <v>46</v>
      </c>
      <c r="X54" s="85">
        <v>4</v>
      </c>
      <c r="Y54" s="85">
        <v>8.09E-2</v>
      </c>
      <c r="Z54" s="85">
        <v>2.0199999999999999E-2</v>
      </c>
      <c r="AA54" s="85" t="s">
        <v>46</v>
      </c>
      <c r="AB54" s="85"/>
      <c r="AC54" s="85">
        <v>4</v>
      </c>
      <c r="AD54" s="85">
        <v>0</v>
      </c>
      <c r="AE54" s="90">
        <v>1.19E-5</v>
      </c>
      <c r="AF54" s="85" t="s">
        <v>46</v>
      </c>
      <c r="AG54" s="85">
        <v>4</v>
      </c>
      <c r="AH54" s="85">
        <v>2.1147</v>
      </c>
      <c r="AI54" s="85">
        <v>0.52869999999999995</v>
      </c>
      <c r="AJ54" s="85" t="s">
        <v>46</v>
      </c>
      <c r="AK54" s="85"/>
      <c r="AL54" s="85">
        <v>4</v>
      </c>
      <c r="AM54" s="85">
        <v>0.1772</v>
      </c>
      <c r="AN54" s="85">
        <v>4.4299999999999999E-2</v>
      </c>
    </row>
    <row r="55" spans="1:41" x14ac:dyDescent="0.3">
      <c r="A55" s="85" t="s">
        <v>47</v>
      </c>
      <c r="B55" s="85">
        <v>5</v>
      </c>
      <c r="C55" s="85">
        <v>0.16020000000000001</v>
      </c>
      <c r="D55" s="85" t="s">
        <v>48</v>
      </c>
      <c r="E55" s="85" t="s">
        <v>47</v>
      </c>
      <c r="F55" s="85">
        <v>5</v>
      </c>
      <c r="G55" s="85">
        <v>0.25230000000000002</v>
      </c>
      <c r="H55" s="85" t="s">
        <v>48</v>
      </c>
      <c r="I55" s="85" t="s">
        <v>47</v>
      </c>
      <c r="J55" s="85">
        <v>5</v>
      </c>
      <c r="K55" s="85">
        <v>0.1191</v>
      </c>
      <c r="L55" s="85" t="s">
        <v>48</v>
      </c>
      <c r="M55" s="85" t="s">
        <v>47</v>
      </c>
      <c r="N55" s="85">
        <v>5</v>
      </c>
      <c r="O55" s="85">
        <v>3.3500000000000002E-2</v>
      </c>
      <c r="P55" s="85" t="s">
        <v>48</v>
      </c>
      <c r="Q55" s="85" t="s">
        <v>47</v>
      </c>
      <c r="R55" s="85"/>
      <c r="S55" s="85"/>
      <c r="T55" s="85">
        <v>5</v>
      </c>
      <c r="U55" s="85">
        <v>1.8217000000000001</v>
      </c>
      <c r="V55" s="85" t="s">
        <v>48</v>
      </c>
      <c r="W55" s="85" t="s">
        <v>47</v>
      </c>
      <c r="X55" s="85">
        <v>5</v>
      </c>
      <c r="Y55" s="85">
        <v>0.29820000000000002</v>
      </c>
      <c r="Z55" s="85" t="s">
        <v>48</v>
      </c>
      <c r="AA55" s="85" t="s">
        <v>47</v>
      </c>
      <c r="AB55" s="85"/>
      <c r="AC55" s="85">
        <v>5</v>
      </c>
      <c r="AD55" s="85">
        <v>2.6100000000000002E-2</v>
      </c>
      <c r="AE55" s="85" t="s">
        <v>48</v>
      </c>
      <c r="AF55" s="85" t="s">
        <v>47</v>
      </c>
      <c r="AG55" s="85">
        <v>5</v>
      </c>
      <c r="AH55" s="85">
        <v>2.3643000000000001</v>
      </c>
      <c r="AI55" s="85" t="s">
        <v>48</v>
      </c>
      <c r="AJ55" s="85" t="s">
        <v>47</v>
      </c>
      <c r="AK55" s="85"/>
      <c r="AL55" s="85">
        <v>5</v>
      </c>
      <c r="AM55" s="85">
        <v>0.62839999999999996</v>
      </c>
      <c r="AN55" s="85" t="s">
        <v>48</v>
      </c>
    </row>
    <row r="56" spans="1:41" x14ac:dyDescent="0.3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</row>
    <row r="57" spans="1:41" x14ac:dyDescent="0.3">
      <c r="A57" s="85" t="s">
        <v>49</v>
      </c>
      <c r="B57" s="85">
        <v>6.1951000000000001</v>
      </c>
      <c r="C57" s="85" t="s">
        <v>50</v>
      </c>
      <c r="D57" s="85"/>
      <c r="E57" s="85" t="s">
        <v>49</v>
      </c>
      <c r="F57" s="85">
        <v>5.5176999999999996</v>
      </c>
      <c r="G57" s="85" t="s">
        <v>51</v>
      </c>
      <c r="H57" s="85"/>
      <c r="I57" s="85" t="s">
        <v>49</v>
      </c>
      <c r="J57" s="85">
        <v>1.8051999999999999</v>
      </c>
      <c r="K57" s="85" t="s">
        <v>52</v>
      </c>
      <c r="L57" s="85"/>
      <c r="M57" s="85" t="s">
        <v>49</v>
      </c>
      <c r="N57" s="85">
        <v>1232.0526</v>
      </c>
      <c r="O57" s="85" t="s">
        <v>53</v>
      </c>
      <c r="P57" s="85"/>
      <c r="Q57" s="85" t="s">
        <v>49</v>
      </c>
      <c r="R57" s="85"/>
      <c r="S57" s="85"/>
      <c r="T57" s="85">
        <v>1.9728000000000001</v>
      </c>
      <c r="U57" s="85" t="s">
        <v>54</v>
      </c>
      <c r="V57" s="85"/>
      <c r="W57" s="85" t="s">
        <v>49</v>
      </c>
      <c r="X57" s="85">
        <v>10.7415</v>
      </c>
      <c r="Y57" s="85" t="s">
        <v>55</v>
      </c>
      <c r="Z57" s="85"/>
      <c r="AA57" s="85" t="s">
        <v>49</v>
      </c>
      <c r="AB57" s="85"/>
      <c r="AC57" s="85">
        <v>2187</v>
      </c>
      <c r="AD57" s="85" t="s">
        <v>56</v>
      </c>
      <c r="AE57" s="85"/>
      <c r="AF57" s="85" t="s">
        <v>49</v>
      </c>
      <c r="AG57" s="85">
        <v>0.47210000000000002</v>
      </c>
      <c r="AH57" s="85" t="s">
        <v>57</v>
      </c>
      <c r="AI57" s="85"/>
      <c r="AJ57" s="85" t="s">
        <v>49</v>
      </c>
      <c r="AK57" s="85"/>
      <c r="AL57" s="85">
        <v>10.185600000000001</v>
      </c>
      <c r="AM57" s="85" t="s">
        <v>58</v>
      </c>
      <c r="AN57" s="85"/>
    </row>
    <row r="58" spans="1:41" x14ac:dyDescent="0.3">
      <c r="A58" s="85" t="s">
        <v>59</v>
      </c>
      <c r="B58" s="85" t="s">
        <v>60</v>
      </c>
      <c r="C58" s="85"/>
      <c r="D58" s="85"/>
      <c r="E58" s="85" t="s">
        <v>59</v>
      </c>
      <c r="F58" s="85" t="s">
        <v>60</v>
      </c>
      <c r="G58" s="85"/>
      <c r="H58" s="85"/>
      <c r="I58" s="85" t="s">
        <v>59</v>
      </c>
      <c r="J58" s="85" t="s">
        <v>60</v>
      </c>
      <c r="K58" s="85"/>
      <c r="L58" s="85"/>
      <c r="M58" s="85" t="s">
        <v>59</v>
      </c>
      <c r="N58" s="85" t="s">
        <v>60</v>
      </c>
      <c r="O58" s="85"/>
      <c r="P58" s="85"/>
      <c r="Q58" s="85" t="s">
        <v>59</v>
      </c>
      <c r="R58" s="85"/>
      <c r="S58" s="85"/>
      <c r="T58" s="85" t="s">
        <v>61</v>
      </c>
      <c r="U58" s="85"/>
      <c r="V58" s="85"/>
      <c r="W58" s="85" t="s">
        <v>59</v>
      </c>
      <c r="X58" s="85" t="s">
        <v>61</v>
      </c>
      <c r="Y58" s="85"/>
      <c r="Z58" s="85"/>
      <c r="AA58" s="85" t="s">
        <v>59</v>
      </c>
      <c r="AB58" s="85"/>
      <c r="AC58" s="85" t="s">
        <v>60</v>
      </c>
      <c r="AD58" s="85"/>
      <c r="AE58" s="85"/>
      <c r="AF58" s="85" t="s">
        <v>59</v>
      </c>
      <c r="AG58" s="85" t="s">
        <v>61</v>
      </c>
      <c r="AH58" s="85"/>
      <c r="AI58" s="85"/>
      <c r="AJ58" s="85" t="s">
        <v>59</v>
      </c>
      <c r="AK58" s="85"/>
      <c r="AL58" s="85" t="s">
        <v>61</v>
      </c>
      <c r="AM58" s="85"/>
      <c r="AN58" s="85"/>
    </row>
    <row r="59" spans="1:41" x14ac:dyDescent="0.3">
      <c r="A59" s="85" t="s">
        <v>62</v>
      </c>
      <c r="B59" s="85" t="s">
        <v>63</v>
      </c>
      <c r="C59" s="85"/>
      <c r="D59" s="85"/>
      <c r="E59" s="85" t="s">
        <v>62</v>
      </c>
      <c r="F59" s="85" t="s">
        <v>63</v>
      </c>
      <c r="G59" s="85"/>
      <c r="H59" s="85"/>
      <c r="I59" s="85" t="s">
        <v>62</v>
      </c>
      <c r="J59" s="85" t="s">
        <v>63</v>
      </c>
      <c r="K59" s="85"/>
      <c r="L59" s="85"/>
      <c r="M59" s="85" t="s">
        <v>62</v>
      </c>
      <c r="N59" s="85" t="s">
        <v>63</v>
      </c>
      <c r="O59" s="85"/>
      <c r="P59" s="85"/>
      <c r="Q59" s="85" t="s">
        <v>62</v>
      </c>
      <c r="R59" s="85"/>
      <c r="S59" s="85"/>
      <c r="T59" s="85" t="s">
        <v>64</v>
      </c>
      <c r="U59" s="85"/>
      <c r="V59" s="85"/>
      <c r="W59" s="85" t="s">
        <v>62</v>
      </c>
      <c r="X59" s="85" t="s">
        <v>64</v>
      </c>
      <c r="Y59" s="85"/>
      <c r="Z59" s="85"/>
      <c r="AA59" s="85" t="s">
        <v>62</v>
      </c>
      <c r="AB59" s="85"/>
      <c r="AC59" s="85" t="s">
        <v>63</v>
      </c>
      <c r="AD59" s="85"/>
      <c r="AE59" s="85"/>
      <c r="AF59" s="85" t="s">
        <v>62</v>
      </c>
      <c r="AG59" s="85" t="s">
        <v>64</v>
      </c>
      <c r="AH59" s="85"/>
      <c r="AI59" s="85"/>
      <c r="AJ59" s="85" t="s">
        <v>62</v>
      </c>
      <c r="AK59" s="85"/>
      <c r="AL59" s="85" t="s">
        <v>64</v>
      </c>
      <c r="AM59" s="85"/>
      <c r="AN59" s="85"/>
    </row>
    <row r="60" spans="1:41" x14ac:dyDescent="0.3">
      <c r="A60" s="85" t="s">
        <v>65</v>
      </c>
      <c r="B60" s="85">
        <v>3.5</v>
      </c>
      <c r="C60" s="85"/>
      <c r="D60" s="85"/>
      <c r="E60" s="85" t="s">
        <v>65</v>
      </c>
      <c r="F60" s="85">
        <v>3.5</v>
      </c>
      <c r="G60" s="85"/>
      <c r="H60" s="85"/>
      <c r="I60" s="85" t="s">
        <v>65</v>
      </c>
      <c r="J60" s="85">
        <v>3.5</v>
      </c>
      <c r="K60" s="85"/>
      <c r="L60" s="85"/>
      <c r="M60" s="85" t="s">
        <v>65</v>
      </c>
      <c r="N60" s="85">
        <v>3.5</v>
      </c>
      <c r="O60" s="85"/>
      <c r="P60" s="85"/>
      <c r="Q60" s="85" t="s">
        <v>65</v>
      </c>
      <c r="R60" s="85"/>
      <c r="S60" s="85"/>
      <c r="T60" s="85">
        <v>3.5</v>
      </c>
      <c r="U60" s="85"/>
      <c r="V60" s="85"/>
      <c r="W60" s="85" t="s">
        <v>65</v>
      </c>
      <c r="X60" s="85">
        <v>3.5</v>
      </c>
      <c r="Y60" s="85"/>
      <c r="Z60" s="85"/>
      <c r="AA60" s="85" t="s">
        <v>65</v>
      </c>
      <c r="AB60" s="85"/>
      <c r="AC60" s="85">
        <v>3.5</v>
      </c>
      <c r="AD60" s="85"/>
      <c r="AE60" s="85"/>
      <c r="AF60" s="85" t="s">
        <v>65</v>
      </c>
      <c r="AG60" s="85">
        <v>3.5</v>
      </c>
      <c r="AH60" s="85"/>
      <c r="AI60" s="85"/>
      <c r="AJ60" s="85" t="s">
        <v>65</v>
      </c>
      <c r="AK60" s="85"/>
      <c r="AL60" s="85">
        <v>3.5</v>
      </c>
      <c r="AM60" s="85"/>
      <c r="AN60" s="85"/>
    </row>
    <row r="61" spans="1:41" x14ac:dyDescent="0.3">
      <c r="A61" s="85" t="s">
        <v>66</v>
      </c>
      <c r="B61" s="85">
        <v>0.72499999999999998</v>
      </c>
      <c r="C61" s="85"/>
      <c r="D61" s="85"/>
      <c r="E61" s="85" t="s">
        <v>66</v>
      </c>
      <c r="F61" s="85">
        <v>0.91669999999999996</v>
      </c>
      <c r="G61" s="85"/>
      <c r="H61" s="85"/>
      <c r="I61" s="85" t="s">
        <v>66</v>
      </c>
      <c r="J61" s="85">
        <v>0.48170000000000002</v>
      </c>
      <c r="K61" s="85"/>
      <c r="L61" s="85"/>
      <c r="M61" s="85" t="s">
        <v>66</v>
      </c>
      <c r="N61" s="85">
        <v>-2.9950000000000001</v>
      </c>
      <c r="O61" s="85"/>
      <c r="P61" s="85"/>
      <c r="Q61" s="85" t="s">
        <v>66</v>
      </c>
      <c r="R61" s="85"/>
      <c r="S61" s="85"/>
      <c r="T61" s="85">
        <v>2.9249999999999998</v>
      </c>
      <c r="U61" s="85"/>
      <c r="V61" s="85"/>
      <c r="W61" s="85" t="s">
        <v>66</v>
      </c>
      <c r="X61" s="85">
        <v>5.22</v>
      </c>
      <c r="Y61" s="85"/>
      <c r="Z61" s="85"/>
      <c r="AA61" s="85" t="s">
        <v>66</v>
      </c>
      <c r="AB61" s="85"/>
      <c r="AC61" s="85">
        <v>-2.9782999999999999</v>
      </c>
      <c r="AD61" s="85"/>
      <c r="AE61" s="85"/>
      <c r="AF61" s="85" t="s">
        <v>66</v>
      </c>
      <c r="AG61" s="85">
        <v>2.9666999999999999</v>
      </c>
      <c r="AH61" s="85"/>
      <c r="AI61" s="85"/>
      <c r="AJ61" s="85" t="s">
        <v>66</v>
      </c>
      <c r="AK61" s="85"/>
      <c r="AL61" s="85">
        <v>4.6900000000000004</v>
      </c>
      <c r="AM61" s="85"/>
      <c r="AN61" s="85"/>
    </row>
    <row r="62" spans="1:41" x14ac:dyDescent="0.3">
      <c r="A62" s="85" t="s">
        <v>67</v>
      </c>
      <c r="B62" s="85">
        <v>0.60770000000000002</v>
      </c>
      <c r="C62" s="85"/>
      <c r="D62" s="85"/>
      <c r="E62" s="85" t="s">
        <v>67</v>
      </c>
      <c r="F62" s="85">
        <v>0.57969999999999999</v>
      </c>
      <c r="G62" s="85"/>
      <c r="H62" s="85"/>
      <c r="I62" s="85" t="s">
        <v>67</v>
      </c>
      <c r="J62" s="85">
        <v>0.311</v>
      </c>
      <c r="K62" s="85"/>
      <c r="L62" s="85"/>
      <c r="M62" s="85" t="s">
        <v>67</v>
      </c>
      <c r="N62" s="85">
        <v>0.99680000000000002</v>
      </c>
      <c r="O62" s="85"/>
      <c r="P62" s="85"/>
      <c r="Q62" s="85" t="s">
        <v>67</v>
      </c>
      <c r="R62" s="85"/>
      <c r="S62" s="85"/>
      <c r="T62" s="85">
        <v>0.33029999999999998</v>
      </c>
      <c r="U62" s="85"/>
      <c r="V62" s="85"/>
      <c r="W62" s="85" t="s">
        <v>67</v>
      </c>
      <c r="X62" s="85">
        <v>0.72870000000000001</v>
      </c>
      <c r="Y62" s="85"/>
      <c r="Z62" s="85"/>
      <c r="AA62" s="85" t="s">
        <v>67</v>
      </c>
      <c r="AB62" s="85"/>
      <c r="AC62" s="85">
        <v>0.99819999999999998</v>
      </c>
      <c r="AD62" s="85"/>
      <c r="AE62" s="85"/>
      <c r="AF62" s="85" t="s">
        <v>67</v>
      </c>
      <c r="AG62" s="85">
        <v>0.1056</v>
      </c>
      <c r="AH62" s="85"/>
      <c r="AI62" s="85"/>
      <c r="AJ62" s="85" t="s">
        <v>67</v>
      </c>
      <c r="AK62" s="85"/>
      <c r="AL62" s="85">
        <v>0.71799999999999997</v>
      </c>
      <c r="AM62" s="85"/>
      <c r="AN62" s="85"/>
    </row>
    <row r="63" spans="1:41" x14ac:dyDescent="0.3">
      <c r="A63" s="85" t="s">
        <v>68</v>
      </c>
      <c r="B63" s="85">
        <v>0.50960000000000005</v>
      </c>
      <c r="C63" s="85"/>
      <c r="D63" s="85"/>
      <c r="E63" s="85" t="s">
        <v>68</v>
      </c>
      <c r="F63" s="85">
        <v>0.47470000000000001</v>
      </c>
      <c r="G63" s="85"/>
      <c r="H63" s="85"/>
      <c r="I63" s="85" t="s">
        <v>68</v>
      </c>
      <c r="J63" s="85">
        <v>0.13869999999999999</v>
      </c>
      <c r="K63" s="85"/>
      <c r="L63" s="85"/>
      <c r="M63" s="85" t="s">
        <v>68</v>
      </c>
      <c r="N63" s="85">
        <v>0.996</v>
      </c>
      <c r="O63" s="85"/>
      <c r="P63" s="85"/>
      <c r="Q63" s="85" t="s">
        <v>68</v>
      </c>
      <c r="R63" s="85"/>
      <c r="S63" s="85"/>
      <c r="T63" s="85">
        <v>0.16289999999999999</v>
      </c>
      <c r="U63" s="85"/>
      <c r="V63" s="85"/>
      <c r="W63" s="85" t="s">
        <v>68</v>
      </c>
      <c r="X63" s="85">
        <v>0.66080000000000005</v>
      </c>
      <c r="Y63" s="85"/>
      <c r="Z63" s="85"/>
      <c r="AA63" s="85" t="s">
        <v>68</v>
      </c>
      <c r="AB63" s="85"/>
      <c r="AC63" s="85">
        <v>0.99770000000000003</v>
      </c>
      <c r="AD63" s="85"/>
      <c r="AE63" s="85"/>
      <c r="AF63" s="85" t="s">
        <v>68</v>
      </c>
      <c r="AG63" s="85">
        <v>-0.11799999999999999</v>
      </c>
      <c r="AH63" s="85"/>
      <c r="AI63" s="85"/>
      <c r="AJ63" s="85" t="s">
        <v>68</v>
      </c>
      <c r="AK63" s="85"/>
      <c r="AL63" s="85">
        <v>0.64749999999999996</v>
      </c>
      <c r="AM63" s="85"/>
      <c r="AN63" s="85"/>
    </row>
    <row r="64" spans="1:41" x14ac:dyDescent="0.3">
      <c r="A64" s="85" t="s">
        <v>69</v>
      </c>
      <c r="B64" s="85">
        <v>0.77949999999999997</v>
      </c>
      <c r="C64" s="85"/>
      <c r="D64" s="85"/>
      <c r="E64" s="85" t="s">
        <v>69</v>
      </c>
      <c r="F64" s="85">
        <v>0.76139999999999997</v>
      </c>
      <c r="G64" s="85"/>
      <c r="H64" s="85"/>
      <c r="I64" s="85" t="s">
        <v>69</v>
      </c>
      <c r="J64" s="85">
        <v>0.55759999999999998</v>
      </c>
      <c r="K64" s="85"/>
      <c r="L64" s="85"/>
      <c r="M64" s="85" t="s">
        <v>69</v>
      </c>
      <c r="N64" s="85">
        <v>0.99839999999999995</v>
      </c>
      <c r="O64" s="85"/>
      <c r="P64" s="85"/>
      <c r="Q64" s="85" t="s">
        <v>69</v>
      </c>
      <c r="R64" s="85"/>
      <c r="S64" s="85"/>
      <c r="T64" s="85">
        <v>0.57469999999999999</v>
      </c>
      <c r="U64" s="85"/>
      <c r="V64" s="85"/>
      <c r="W64" s="85" t="s">
        <v>69</v>
      </c>
      <c r="X64" s="85">
        <v>0.85360000000000003</v>
      </c>
      <c r="Y64" s="85"/>
      <c r="Z64" s="85"/>
      <c r="AA64" s="85" t="s">
        <v>69</v>
      </c>
      <c r="AB64" s="85"/>
      <c r="AC64" s="85">
        <v>0.99909999999999999</v>
      </c>
      <c r="AD64" s="85"/>
      <c r="AE64" s="85"/>
      <c r="AF64" s="85" t="s">
        <v>69</v>
      </c>
      <c r="AG64" s="85">
        <v>0.32490000000000002</v>
      </c>
      <c r="AH64" s="85"/>
      <c r="AI64" s="85"/>
      <c r="AJ64" s="85" t="s">
        <v>69</v>
      </c>
      <c r="AK64" s="85"/>
      <c r="AL64" s="85">
        <v>0.84740000000000004</v>
      </c>
      <c r="AM64" s="85"/>
      <c r="AN64" s="85"/>
    </row>
    <row r="65" spans="1:40" x14ac:dyDescent="0.3">
      <c r="A65" s="85" t="s">
        <v>70</v>
      </c>
      <c r="B65" s="85">
        <v>0.98599999999999999</v>
      </c>
      <c r="C65" s="85" t="s">
        <v>71</v>
      </c>
      <c r="D65" s="85" t="s">
        <v>72</v>
      </c>
      <c r="E65" s="85" t="s">
        <v>70</v>
      </c>
      <c r="F65" s="85">
        <v>1.2366999999999999</v>
      </c>
      <c r="G65" s="85" t="s">
        <v>73</v>
      </c>
      <c r="H65" s="85" t="s">
        <v>74</v>
      </c>
      <c r="I65" s="85" t="s">
        <v>70</v>
      </c>
      <c r="J65" s="85">
        <v>0.64270000000000005</v>
      </c>
      <c r="K65" s="85" t="s">
        <v>75</v>
      </c>
      <c r="L65" s="85" t="s">
        <v>76</v>
      </c>
      <c r="M65" s="85" t="s">
        <v>70</v>
      </c>
      <c r="N65" s="91">
        <v>-2.8420000000000001</v>
      </c>
      <c r="O65" s="85" t="s">
        <v>77</v>
      </c>
      <c r="P65" s="85" t="s">
        <v>78</v>
      </c>
      <c r="Q65" s="85" t="s">
        <v>70</v>
      </c>
      <c r="R65" s="85"/>
      <c r="S65" s="85"/>
      <c r="T65" s="91">
        <v>3.5739999999999998</v>
      </c>
      <c r="U65" s="85" t="s">
        <v>79</v>
      </c>
      <c r="V65" s="85" t="s">
        <v>80</v>
      </c>
      <c r="W65" s="85" t="s">
        <v>70</v>
      </c>
      <c r="X65" s="85">
        <v>5.61</v>
      </c>
      <c r="Y65" s="85" t="s">
        <v>81</v>
      </c>
      <c r="Z65" s="85" t="s">
        <v>78</v>
      </c>
      <c r="AA65" s="85" t="s">
        <v>70</v>
      </c>
      <c r="AB65" s="85"/>
      <c r="AC65" s="85">
        <v>-2.8433000000000002</v>
      </c>
      <c r="AD65" s="85" t="s">
        <v>82</v>
      </c>
      <c r="AE65" s="85" t="s">
        <v>78</v>
      </c>
      <c r="AF65" s="85" t="s">
        <v>70</v>
      </c>
      <c r="AG65" s="85">
        <v>2.5487000000000002</v>
      </c>
      <c r="AH65" s="85" t="s">
        <v>83</v>
      </c>
      <c r="AI65" s="85" t="s">
        <v>84</v>
      </c>
      <c r="AJ65" s="85" t="s">
        <v>70</v>
      </c>
      <c r="AK65" s="85"/>
      <c r="AL65" s="85">
        <v>5.2519999999999998</v>
      </c>
      <c r="AM65" s="85" t="s">
        <v>85</v>
      </c>
      <c r="AN65" s="85" t="s">
        <v>78</v>
      </c>
    </row>
    <row r="66" spans="1:40" x14ac:dyDescent="0.3">
      <c r="A66" s="85" t="s">
        <v>86</v>
      </c>
      <c r="B66" s="85">
        <v>-7.46E-2</v>
      </c>
      <c r="C66" s="85" t="s">
        <v>87</v>
      </c>
      <c r="D66" s="85" t="s">
        <v>88</v>
      </c>
      <c r="E66" s="85" t="s">
        <v>86</v>
      </c>
      <c r="F66" s="85">
        <v>-9.1399999999999995E-2</v>
      </c>
      <c r="G66" s="85" t="s">
        <v>89</v>
      </c>
      <c r="H66" s="85" t="s">
        <v>90</v>
      </c>
      <c r="I66" s="85" t="s">
        <v>86</v>
      </c>
      <c r="J66" s="85">
        <v>-4.5999999999999999E-2</v>
      </c>
      <c r="K66" s="85" t="s">
        <v>91</v>
      </c>
      <c r="L66" s="85" t="s">
        <v>92</v>
      </c>
      <c r="M66" s="85" t="s">
        <v>86</v>
      </c>
      <c r="N66" s="91">
        <v>-4.3700000000000003E-2</v>
      </c>
      <c r="O66" s="85" t="s">
        <v>93</v>
      </c>
      <c r="P66" s="85" t="s">
        <v>78</v>
      </c>
      <c r="Q66" s="85" t="s">
        <v>86</v>
      </c>
      <c r="R66" s="85"/>
      <c r="S66" s="85"/>
      <c r="T66" s="91">
        <v>-0.18540000000000001</v>
      </c>
      <c r="U66" s="85" t="s">
        <v>94</v>
      </c>
      <c r="V66" s="85" t="s">
        <v>95</v>
      </c>
      <c r="W66" s="85" t="s">
        <v>86</v>
      </c>
      <c r="X66" s="85">
        <v>-0.1114</v>
      </c>
      <c r="Y66" s="85" t="s">
        <v>96</v>
      </c>
      <c r="Z66" s="85" t="s">
        <v>97</v>
      </c>
      <c r="AA66" s="85" t="s">
        <v>86</v>
      </c>
      <c r="AB66" s="85"/>
      <c r="AC66" s="85">
        <v>-3.8600000000000002E-2</v>
      </c>
      <c r="AD66" s="85" t="s">
        <v>98</v>
      </c>
      <c r="AE66" s="85" t="s">
        <v>78</v>
      </c>
      <c r="AF66" s="85" t="s">
        <v>86</v>
      </c>
      <c r="AG66" s="85">
        <v>0.11940000000000001</v>
      </c>
      <c r="AH66" s="85" t="s">
        <v>99</v>
      </c>
      <c r="AI66" s="85" t="s">
        <v>100</v>
      </c>
      <c r="AJ66" s="85" t="s">
        <v>86</v>
      </c>
      <c r="AK66" s="85"/>
      <c r="AL66" s="85">
        <v>-0.16059999999999999</v>
      </c>
      <c r="AM66" s="85" t="s">
        <v>101</v>
      </c>
      <c r="AN66" s="85" t="s">
        <v>102</v>
      </c>
    </row>
    <row r="67" spans="1:40" x14ac:dyDescent="0.3">
      <c r="A67" s="85" t="s">
        <v>103</v>
      </c>
      <c r="B67" s="85" t="s">
        <v>104</v>
      </c>
      <c r="C67" s="85"/>
      <c r="D67" s="85"/>
      <c r="E67" s="85" t="s">
        <v>103</v>
      </c>
      <c r="F67" s="85" t="s">
        <v>105</v>
      </c>
      <c r="G67" s="85"/>
      <c r="H67" s="85"/>
      <c r="I67" s="85" t="s">
        <v>103</v>
      </c>
      <c r="J67" s="85" t="s">
        <v>106</v>
      </c>
      <c r="K67" s="85"/>
      <c r="L67" s="85"/>
      <c r="M67" s="85" t="s">
        <v>103</v>
      </c>
      <c r="N67" s="85" t="s">
        <v>107</v>
      </c>
      <c r="O67" s="85"/>
      <c r="P67" s="85"/>
      <c r="Q67" s="85" t="s">
        <v>103</v>
      </c>
      <c r="R67" s="85"/>
      <c r="S67" s="85"/>
      <c r="T67" s="85" t="s">
        <v>108</v>
      </c>
      <c r="U67" s="85"/>
      <c r="V67" s="85"/>
      <c r="W67" s="85" t="s">
        <v>103</v>
      </c>
      <c r="X67" s="85" t="s">
        <v>109</v>
      </c>
      <c r="Y67" s="85"/>
      <c r="Z67" s="85"/>
      <c r="AA67" s="85" t="s">
        <v>103</v>
      </c>
      <c r="AB67" s="85"/>
      <c r="AC67" s="85" t="s">
        <v>110</v>
      </c>
      <c r="AD67" s="85"/>
      <c r="AE67" s="85"/>
      <c r="AF67" s="85" t="s">
        <v>103</v>
      </c>
      <c r="AG67" s="85" t="s">
        <v>111</v>
      </c>
      <c r="AH67" s="85"/>
      <c r="AI67" s="85"/>
      <c r="AJ67" s="85" t="s">
        <v>103</v>
      </c>
      <c r="AK67" s="85"/>
      <c r="AL67" s="85" t="s">
        <v>112</v>
      </c>
      <c r="AM67" s="85"/>
      <c r="AN67" s="85"/>
    </row>
    <row r="68" spans="1:40" x14ac:dyDescent="0.3">
      <c r="A68" s="85" t="s">
        <v>113</v>
      </c>
      <c r="B68" s="85" t="s">
        <v>114</v>
      </c>
      <c r="C68" s="85"/>
      <c r="D68" s="85"/>
      <c r="E68" s="85" t="s">
        <v>113</v>
      </c>
      <c r="F68" s="85" t="s">
        <v>115</v>
      </c>
      <c r="G68" s="85"/>
      <c r="H68" s="85"/>
      <c r="I68" s="85" t="s">
        <v>113</v>
      </c>
      <c r="J68" s="85" t="s">
        <v>116</v>
      </c>
      <c r="K68" s="85"/>
      <c r="L68" s="85"/>
      <c r="M68" s="85" t="s">
        <v>113</v>
      </c>
      <c r="N68" s="85" t="s">
        <v>117</v>
      </c>
      <c r="O68" s="85"/>
      <c r="P68" s="85"/>
      <c r="Q68" s="85" t="s">
        <v>113</v>
      </c>
      <c r="R68" s="85"/>
      <c r="S68" s="85"/>
      <c r="T68" s="85" t="s">
        <v>118</v>
      </c>
      <c r="U68" s="85"/>
      <c r="V68" s="85"/>
      <c r="W68" s="85" t="s">
        <v>113</v>
      </c>
      <c r="X68" s="85" t="s">
        <v>119</v>
      </c>
      <c r="Y68" s="85"/>
      <c r="Z68" s="85"/>
      <c r="AA68" s="85" t="s">
        <v>113</v>
      </c>
      <c r="AB68" s="85"/>
      <c r="AC68" s="85" t="s">
        <v>120</v>
      </c>
      <c r="AD68" s="85"/>
      <c r="AE68" s="85"/>
      <c r="AF68" s="85" t="s">
        <v>113</v>
      </c>
      <c r="AG68" s="85" t="s">
        <v>121</v>
      </c>
      <c r="AH68" s="85"/>
      <c r="AI68" s="85"/>
      <c r="AJ68" s="85" t="s">
        <v>113</v>
      </c>
      <c r="AK68" s="85"/>
      <c r="AL68" s="85" t="s">
        <v>122</v>
      </c>
      <c r="AM68" s="85"/>
      <c r="AN68" s="85"/>
    </row>
    <row r="69" spans="1:40" x14ac:dyDescent="0.3">
      <c r="A69" s="85" t="s">
        <v>123</v>
      </c>
      <c r="B69" s="85" t="s">
        <v>124</v>
      </c>
      <c r="C69" s="85"/>
      <c r="D69" s="85"/>
      <c r="E69" s="85" t="s">
        <v>123</v>
      </c>
      <c r="F69" s="85" t="s">
        <v>124</v>
      </c>
      <c r="G69" s="85"/>
      <c r="H69" s="85"/>
      <c r="I69" s="85" t="s">
        <v>123</v>
      </c>
      <c r="J69" s="85" t="s">
        <v>124</v>
      </c>
      <c r="K69" s="85"/>
      <c r="L69" s="85"/>
      <c r="M69" s="85" t="s">
        <v>123</v>
      </c>
      <c r="N69" s="85" t="s">
        <v>124</v>
      </c>
      <c r="O69" s="85"/>
      <c r="P69" s="85"/>
      <c r="Q69" s="85" t="s">
        <v>123</v>
      </c>
      <c r="R69" s="85"/>
      <c r="S69" s="85"/>
      <c r="T69" s="85" t="s">
        <v>124</v>
      </c>
      <c r="U69" s="85"/>
      <c r="V69" s="85"/>
      <c r="W69" s="85" t="s">
        <v>123</v>
      </c>
      <c r="X69" s="85" t="s">
        <v>124</v>
      </c>
      <c r="Y69" s="85"/>
      <c r="Z69" s="85"/>
      <c r="AA69" s="85" t="s">
        <v>123</v>
      </c>
      <c r="AB69" s="85"/>
      <c r="AC69" s="85" t="s">
        <v>124</v>
      </c>
      <c r="AD69" s="85"/>
      <c r="AE69" s="85"/>
      <c r="AF69" s="85" t="s">
        <v>123</v>
      </c>
      <c r="AG69" s="85" t="s">
        <v>124</v>
      </c>
      <c r="AH69" s="85"/>
      <c r="AI69" s="85"/>
      <c r="AJ69" s="85" t="s">
        <v>123</v>
      </c>
      <c r="AK69" s="85"/>
      <c r="AL69" s="85" t="s">
        <v>124</v>
      </c>
      <c r="AM69" s="85"/>
      <c r="AN69" s="85"/>
    </row>
    <row r="84" spans="1:44" x14ac:dyDescent="0.3">
      <c r="A84" s="84" t="s">
        <v>125</v>
      </c>
      <c r="B84" s="84"/>
      <c r="C84" s="84"/>
      <c r="D84" s="84"/>
      <c r="E84" s="84" t="s">
        <v>126</v>
      </c>
      <c r="F84" s="84"/>
      <c r="G84" s="84"/>
      <c r="H84" s="84"/>
      <c r="I84" s="84" t="s">
        <v>127</v>
      </c>
      <c r="J84" s="84"/>
      <c r="K84" s="84"/>
      <c r="L84" s="84"/>
      <c r="M84" s="84"/>
      <c r="N84" s="84"/>
      <c r="O84" s="84" t="s">
        <v>128</v>
      </c>
      <c r="P84" s="84"/>
      <c r="Q84" s="84"/>
      <c r="R84" s="84"/>
      <c r="S84" s="84" t="s">
        <v>129</v>
      </c>
      <c r="T84" s="84"/>
      <c r="U84" s="84"/>
      <c r="V84" s="84"/>
      <c r="W84" s="84"/>
      <c r="X84" s="84"/>
      <c r="Y84" s="84" t="s">
        <v>130</v>
      </c>
      <c r="Z84" s="84"/>
      <c r="AA84" s="84"/>
      <c r="AB84" s="84"/>
      <c r="AC84" s="84" t="s">
        <v>131</v>
      </c>
      <c r="AD84" s="84"/>
      <c r="AE84" s="84"/>
      <c r="AF84" s="84"/>
      <c r="AG84" s="84"/>
      <c r="AH84" s="84"/>
      <c r="AI84" s="84" t="s">
        <v>132</v>
      </c>
      <c r="AJ84" s="84"/>
      <c r="AK84" s="84"/>
      <c r="AL84" s="84"/>
      <c r="AM84" s="84" t="s">
        <v>133</v>
      </c>
      <c r="AN84" s="84"/>
      <c r="AO84" s="84"/>
      <c r="AP84" s="84"/>
      <c r="AQ84" s="84"/>
      <c r="AR84" s="84"/>
    </row>
    <row r="85" spans="1:44" x14ac:dyDescent="0.3">
      <c r="A85" s="85" t="s">
        <v>41</v>
      </c>
      <c r="B85" s="85" t="s">
        <v>42</v>
      </c>
      <c r="C85" s="85" t="s">
        <v>43</v>
      </c>
      <c r="D85" s="85" t="s">
        <v>44</v>
      </c>
      <c r="E85" s="85" t="s">
        <v>41</v>
      </c>
      <c r="F85" s="85" t="s">
        <v>42</v>
      </c>
      <c r="G85" s="85" t="s">
        <v>43</v>
      </c>
      <c r="H85" s="85" t="s">
        <v>44</v>
      </c>
      <c r="I85" s="85" t="s">
        <v>41</v>
      </c>
      <c r="J85" s="85"/>
      <c r="K85" s="85"/>
      <c r="L85" s="85" t="s">
        <v>42</v>
      </c>
      <c r="M85" s="85" t="s">
        <v>43</v>
      </c>
      <c r="N85" s="85" t="s">
        <v>44</v>
      </c>
      <c r="O85" s="85" t="s">
        <v>41</v>
      </c>
      <c r="P85" s="85" t="s">
        <v>42</v>
      </c>
      <c r="Q85" s="85" t="s">
        <v>43</v>
      </c>
      <c r="R85" s="85" t="s">
        <v>44</v>
      </c>
      <c r="S85" s="85" t="s">
        <v>41</v>
      </c>
      <c r="T85" s="85"/>
      <c r="U85" s="85"/>
      <c r="V85" s="85" t="s">
        <v>42</v>
      </c>
      <c r="W85" s="85" t="s">
        <v>43</v>
      </c>
      <c r="X85" s="85" t="s">
        <v>44</v>
      </c>
      <c r="Y85" s="85" t="s">
        <v>41</v>
      </c>
      <c r="Z85" s="85" t="s">
        <v>42</v>
      </c>
      <c r="AA85" s="85" t="s">
        <v>43</v>
      </c>
      <c r="AB85" s="85" t="s">
        <v>44</v>
      </c>
      <c r="AC85" s="85" t="s">
        <v>41</v>
      </c>
      <c r="AD85" s="85"/>
      <c r="AE85" s="85"/>
      <c r="AF85" s="85" t="s">
        <v>42</v>
      </c>
      <c r="AG85" s="85" t="s">
        <v>43</v>
      </c>
      <c r="AH85" s="85" t="s">
        <v>44</v>
      </c>
      <c r="AI85" s="85" t="s">
        <v>41</v>
      </c>
      <c r="AJ85" s="85" t="s">
        <v>42</v>
      </c>
      <c r="AK85" s="85" t="s">
        <v>43</v>
      </c>
      <c r="AL85" s="85" t="s">
        <v>44</v>
      </c>
      <c r="AM85" s="85" t="s">
        <v>41</v>
      </c>
      <c r="AN85" s="85"/>
      <c r="AO85" s="85"/>
      <c r="AP85" s="85" t="s">
        <v>42</v>
      </c>
      <c r="AQ85" s="85" t="s">
        <v>43</v>
      </c>
      <c r="AR85" s="85" t="s">
        <v>44</v>
      </c>
    </row>
    <row r="86" spans="1:44" x14ac:dyDescent="0.3">
      <c r="A86" s="85" t="s">
        <v>45</v>
      </c>
      <c r="B86" s="85">
        <v>1</v>
      </c>
      <c r="C86" s="85">
        <v>0.25800000000000001</v>
      </c>
      <c r="D86" s="85">
        <v>0.25800000000000001</v>
      </c>
      <c r="E86" s="85" t="s">
        <v>45</v>
      </c>
      <c r="F86" s="85">
        <v>1</v>
      </c>
      <c r="G86" s="85">
        <v>0.15459999999999999</v>
      </c>
      <c r="H86" s="85">
        <v>0.15459999999999999</v>
      </c>
      <c r="I86" s="85" t="s">
        <v>45</v>
      </c>
      <c r="J86" s="85"/>
      <c r="K86" s="85"/>
      <c r="L86" s="85">
        <v>1</v>
      </c>
      <c r="M86" s="85">
        <v>0.46089999999999998</v>
      </c>
      <c r="N86" s="85">
        <v>0.46089999999999998</v>
      </c>
      <c r="O86" s="85" t="s">
        <v>45</v>
      </c>
      <c r="P86" s="85">
        <v>1</v>
      </c>
      <c r="Q86" s="85">
        <v>6.4752000000000001</v>
      </c>
      <c r="R86" s="85">
        <v>6.4752000000000001</v>
      </c>
      <c r="S86" s="85" t="s">
        <v>45</v>
      </c>
      <c r="T86" s="85"/>
      <c r="U86" s="85"/>
      <c r="V86" s="85">
        <v>1</v>
      </c>
      <c r="W86" s="85">
        <v>8.9300000000000004E-2</v>
      </c>
      <c r="X86" s="85">
        <v>8.9300000000000004E-2</v>
      </c>
      <c r="Y86" s="85" t="s">
        <v>45</v>
      </c>
      <c r="Z86" s="85">
        <v>1</v>
      </c>
      <c r="AA86" s="85">
        <v>0.42899999999999999</v>
      </c>
      <c r="AB86" s="85">
        <v>0.42899999999999999</v>
      </c>
      <c r="AC86" s="85" t="s">
        <v>45</v>
      </c>
      <c r="AD86" s="85"/>
      <c r="AE86" s="85"/>
      <c r="AF86" s="85">
        <v>1</v>
      </c>
      <c r="AG86" s="85">
        <v>23.7806</v>
      </c>
      <c r="AH86" s="85">
        <v>23.7806</v>
      </c>
      <c r="AI86" s="85" t="s">
        <v>45</v>
      </c>
      <c r="AJ86" s="85">
        <v>1</v>
      </c>
      <c r="AK86" s="85">
        <v>3.1587999999999998</v>
      </c>
      <c r="AL86" s="85">
        <v>3.1587999999999998</v>
      </c>
      <c r="AM86" s="85" t="s">
        <v>45</v>
      </c>
      <c r="AN86" s="85"/>
      <c r="AO86" s="85"/>
      <c r="AP86" s="85">
        <v>1</v>
      </c>
      <c r="AQ86" s="85">
        <v>0.2984</v>
      </c>
      <c r="AR86" s="85">
        <v>0.2984</v>
      </c>
    </row>
    <row r="87" spans="1:44" x14ac:dyDescent="0.3">
      <c r="A87" s="85" t="s">
        <v>46</v>
      </c>
      <c r="B87" s="85">
        <v>4</v>
      </c>
      <c r="C87" s="85">
        <v>5.3600000000000002E-2</v>
      </c>
      <c r="D87" s="85">
        <v>1.34E-2</v>
      </c>
      <c r="E87" s="85" t="s">
        <v>46</v>
      </c>
      <c r="F87" s="85">
        <v>4</v>
      </c>
      <c r="G87" s="85">
        <v>0.31430000000000002</v>
      </c>
      <c r="H87" s="85">
        <v>7.8600000000000003E-2</v>
      </c>
      <c r="I87" s="85" t="s">
        <v>46</v>
      </c>
      <c r="J87" s="85"/>
      <c r="K87" s="85"/>
      <c r="L87" s="85">
        <v>4</v>
      </c>
      <c r="M87" s="85">
        <v>0.31330000000000002</v>
      </c>
      <c r="N87" s="85">
        <v>7.8299999999999995E-2</v>
      </c>
      <c r="O87" s="85" t="s">
        <v>46</v>
      </c>
      <c r="P87" s="85">
        <v>4</v>
      </c>
      <c r="Q87" s="85">
        <v>32.682299999999998</v>
      </c>
      <c r="R87" s="85">
        <v>8.1706000000000003</v>
      </c>
      <c r="S87" s="85" t="s">
        <v>46</v>
      </c>
      <c r="T87" s="85"/>
      <c r="U87" s="85"/>
      <c r="V87" s="85">
        <v>4</v>
      </c>
      <c r="W87" s="85">
        <v>0.71099999999999997</v>
      </c>
      <c r="X87" s="85">
        <v>0.17780000000000001</v>
      </c>
      <c r="Y87" s="85" t="s">
        <v>46</v>
      </c>
      <c r="Z87" s="85">
        <v>4</v>
      </c>
      <c r="AA87" s="85">
        <v>0.51829999999999998</v>
      </c>
      <c r="AB87" s="85">
        <v>0.12959999999999999</v>
      </c>
      <c r="AC87" s="85" t="s">
        <v>46</v>
      </c>
      <c r="AD87" s="85"/>
      <c r="AE87" s="85"/>
      <c r="AF87" s="85">
        <v>4</v>
      </c>
      <c r="AG87" s="85">
        <v>11.972</v>
      </c>
      <c r="AH87" s="85">
        <v>2.9929999999999999</v>
      </c>
      <c r="AI87" s="85" t="s">
        <v>46</v>
      </c>
      <c r="AJ87" s="85">
        <v>4</v>
      </c>
      <c r="AK87" s="85">
        <v>20.9405</v>
      </c>
      <c r="AL87" s="85">
        <v>5.2351000000000001</v>
      </c>
      <c r="AM87" s="85" t="s">
        <v>46</v>
      </c>
      <c r="AN87" s="85"/>
      <c r="AO87" s="85"/>
      <c r="AP87" s="85">
        <v>4</v>
      </c>
      <c r="AQ87" s="85">
        <v>0.33460000000000001</v>
      </c>
      <c r="AR87" s="85">
        <v>8.3599999999999994E-2</v>
      </c>
    </row>
    <row r="88" spans="1:44" x14ac:dyDescent="0.3">
      <c r="A88" s="85" t="s">
        <v>47</v>
      </c>
      <c r="B88" s="85">
        <v>5</v>
      </c>
      <c r="C88" s="85">
        <v>0.31169999999999998</v>
      </c>
      <c r="D88" s="85" t="s">
        <v>48</v>
      </c>
      <c r="E88" s="85" t="s">
        <v>47</v>
      </c>
      <c r="F88" s="85">
        <v>5</v>
      </c>
      <c r="G88" s="85">
        <v>0.46889999999999998</v>
      </c>
      <c r="H88" s="85" t="s">
        <v>48</v>
      </c>
      <c r="I88" s="85" t="s">
        <v>47</v>
      </c>
      <c r="J88" s="85"/>
      <c r="K88" s="85"/>
      <c r="L88" s="85">
        <v>5</v>
      </c>
      <c r="M88" s="85">
        <v>0.7742</v>
      </c>
      <c r="N88" s="85" t="s">
        <v>48</v>
      </c>
      <c r="O88" s="85" t="s">
        <v>47</v>
      </c>
      <c r="P88" s="85">
        <v>5</v>
      </c>
      <c r="Q88" s="85">
        <v>39.157600000000002</v>
      </c>
      <c r="R88" s="85" t="s">
        <v>48</v>
      </c>
      <c r="S88" s="85" t="s">
        <v>47</v>
      </c>
      <c r="T88" s="85"/>
      <c r="U88" s="85"/>
      <c r="V88" s="85">
        <v>5</v>
      </c>
      <c r="W88" s="85">
        <v>0.80030000000000001</v>
      </c>
      <c r="X88" s="85" t="s">
        <v>48</v>
      </c>
      <c r="Y88" s="85" t="s">
        <v>47</v>
      </c>
      <c r="Z88" s="85">
        <v>5</v>
      </c>
      <c r="AA88" s="85">
        <v>0.94730000000000003</v>
      </c>
      <c r="AB88" s="85" t="s">
        <v>48</v>
      </c>
      <c r="AC88" s="85" t="s">
        <v>47</v>
      </c>
      <c r="AD88" s="85"/>
      <c r="AE88" s="85"/>
      <c r="AF88" s="85">
        <v>5</v>
      </c>
      <c r="AG88" s="85">
        <v>35.752499999999998</v>
      </c>
      <c r="AH88" s="85" t="s">
        <v>48</v>
      </c>
      <c r="AI88" s="85" t="s">
        <v>47</v>
      </c>
      <c r="AJ88" s="85">
        <v>5</v>
      </c>
      <c r="AK88" s="85">
        <v>24.099299999999999</v>
      </c>
      <c r="AL88" s="85" t="s">
        <v>48</v>
      </c>
      <c r="AM88" s="85" t="s">
        <v>47</v>
      </c>
      <c r="AN88" s="85"/>
      <c r="AO88" s="85"/>
      <c r="AP88" s="85">
        <v>5</v>
      </c>
      <c r="AQ88" s="85">
        <v>0.63300000000000001</v>
      </c>
      <c r="AR88" s="85" t="s">
        <v>48</v>
      </c>
    </row>
    <row r="89" spans="1:44" x14ac:dyDescent="0.3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</row>
    <row r="90" spans="1:44" x14ac:dyDescent="0.3">
      <c r="A90" s="85" t="s">
        <v>49</v>
      </c>
      <c r="B90" s="85">
        <v>19.2393</v>
      </c>
      <c r="C90" s="85" t="s">
        <v>134</v>
      </c>
      <c r="D90" s="85"/>
      <c r="E90" s="85" t="s">
        <v>49</v>
      </c>
      <c r="F90" s="85">
        <v>1.9681999999999999</v>
      </c>
      <c r="G90" s="85" t="s">
        <v>95</v>
      </c>
      <c r="H90" s="85"/>
      <c r="I90" s="85" t="s">
        <v>49</v>
      </c>
      <c r="J90" s="85"/>
      <c r="K90" s="85"/>
      <c r="L90" s="85">
        <v>5.8841999999999999</v>
      </c>
      <c r="M90" s="85" t="s">
        <v>135</v>
      </c>
      <c r="N90" s="85"/>
      <c r="O90" s="85" t="s">
        <v>49</v>
      </c>
      <c r="P90" s="85">
        <v>0.79249999999999998</v>
      </c>
      <c r="Q90" s="85" t="s">
        <v>136</v>
      </c>
      <c r="R90" s="85"/>
      <c r="S90" s="85" t="s">
        <v>49</v>
      </c>
      <c r="T90" s="85"/>
      <c r="U90" s="85"/>
      <c r="V90" s="85">
        <v>0.50229999999999997</v>
      </c>
      <c r="W90" s="85" t="s">
        <v>137</v>
      </c>
      <c r="X90" s="85"/>
      <c r="Y90" s="85" t="s">
        <v>49</v>
      </c>
      <c r="Z90" s="85">
        <v>3.3107000000000002</v>
      </c>
      <c r="AA90" s="85" t="s">
        <v>138</v>
      </c>
      <c r="AB90" s="85"/>
      <c r="AC90" s="85" t="s">
        <v>49</v>
      </c>
      <c r="AD90" s="85"/>
      <c r="AE90" s="85"/>
      <c r="AF90" s="85">
        <v>7.9454000000000002</v>
      </c>
      <c r="AG90" s="85" t="s">
        <v>139</v>
      </c>
      <c r="AH90" s="85"/>
      <c r="AI90" s="85" t="s">
        <v>49</v>
      </c>
      <c r="AJ90" s="85">
        <v>0.60340000000000005</v>
      </c>
      <c r="AK90" s="85" t="s">
        <v>140</v>
      </c>
      <c r="AL90" s="85"/>
      <c r="AM90" s="85" t="s">
        <v>49</v>
      </c>
      <c r="AN90" s="85"/>
      <c r="AO90" s="85"/>
      <c r="AP90" s="85">
        <v>3.5668000000000002</v>
      </c>
      <c r="AQ90" s="85" t="s">
        <v>141</v>
      </c>
      <c r="AR90" s="85"/>
    </row>
    <row r="91" spans="1:44" x14ac:dyDescent="0.3">
      <c r="A91" s="85" t="s">
        <v>59</v>
      </c>
      <c r="B91" s="85" t="s">
        <v>61</v>
      </c>
      <c r="C91" s="85"/>
      <c r="D91" s="85"/>
      <c r="E91" s="85" t="s">
        <v>59</v>
      </c>
      <c r="F91" s="85" t="s">
        <v>61</v>
      </c>
      <c r="G91" s="85"/>
      <c r="H91" s="85"/>
      <c r="I91" s="85" t="s">
        <v>59</v>
      </c>
      <c r="J91" s="85"/>
      <c r="K91" s="85"/>
      <c r="L91" s="85" t="s">
        <v>61</v>
      </c>
      <c r="M91" s="85"/>
      <c r="N91" s="85"/>
      <c r="O91" s="85" t="s">
        <v>59</v>
      </c>
      <c r="P91" s="85" t="s">
        <v>61</v>
      </c>
      <c r="Q91" s="85"/>
      <c r="R91" s="85"/>
      <c r="S91" s="85" t="s">
        <v>59</v>
      </c>
      <c r="T91" s="85"/>
      <c r="U91" s="85"/>
      <c r="V91" s="85" t="s">
        <v>61</v>
      </c>
      <c r="W91" s="85"/>
      <c r="X91" s="85"/>
      <c r="Y91" s="85" t="s">
        <v>59</v>
      </c>
      <c r="Z91" s="85" t="s">
        <v>61</v>
      </c>
      <c r="AA91" s="85"/>
      <c r="AB91" s="85"/>
      <c r="AC91" s="85" t="s">
        <v>59</v>
      </c>
      <c r="AD91" s="85"/>
      <c r="AE91" s="85"/>
      <c r="AF91" s="85" t="s">
        <v>61</v>
      </c>
      <c r="AG91" s="85"/>
      <c r="AH91" s="85"/>
      <c r="AI91" s="85" t="s">
        <v>59</v>
      </c>
      <c r="AJ91" s="85" t="s">
        <v>61</v>
      </c>
      <c r="AK91" s="85"/>
      <c r="AL91" s="85"/>
      <c r="AM91" s="85" t="s">
        <v>59</v>
      </c>
      <c r="AN91" s="85"/>
      <c r="AO91" s="85"/>
      <c r="AP91" s="85" t="s">
        <v>61</v>
      </c>
      <c r="AQ91" s="85"/>
      <c r="AR91" s="85"/>
    </row>
    <row r="92" spans="1:44" x14ac:dyDescent="0.3">
      <c r="A92" s="85" t="s">
        <v>62</v>
      </c>
      <c r="B92" s="85" t="s">
        <v>64</v>
      </c>
      <c r="C92" s="85"/>
      <c r="D92" s="85"/>
      <c r="E92" s="85" t="s">
        <v>62</v>
      </c>
      <c r="F92" s="85" t="s">
        <v>64</v>
      </c>
      <c r="G92" s="85"/>
      <c r="H92" s="85"/>
      <c r="I92" s="85" t="s">
        <v>62</v>
      </c>
      <c r="J92" s="85"/>
      <c r="K92" s="85"/>
      <c r="L92" s="85" t="s">
        <v>64</v>
      </c>
      <c r="M92" s="85"/>
      <c r="N92" s="85"/>
      <c r="O92" s="85" t="s">
        <v>62</v>
      </c>
      <c r="P92" s="85" t="s">
        <v>64</v>
      </c>
      <c r="Q92" s="85"/>
      <c r="R92" s="85"/>
      <c r="S92" s="85" t="s">
        <v>62</v>
      </c>
      <c r="T92" s="85"/>
      <c r="U92" s="85"/>
      <c r="V92" s="85" t="s">
        <v>64</v>
      </c>
      <c r="W92" s="85"/>
      <c r="X92" s="85"/>
      <c r="Y92" s="85" t="s">
        <v>62</v>
      </c>
      <c r="Z92" s="85" t="s">
        <v>64</v>
      </c>
      <c r="AA92" s="85"/>
      <c r="AB92" s="85"/>
      <c r="AC92" s="85" t="s">
        <v>62</v>
      </c>
      <c r="AD92" s="85"/>
      <c r="AE92" s="85"/>
      <c r="AF92" s="85" t="s">
        <v>64</v>
      </c>
      <c r="AG92" s="85"/>
      <c r="AH92" s="85"/>
      <c r="AI92" s="85" t="s">
        <v>62</v>
      </c>
      <c r="AJ92" s="85" t="s">
        <v>64</v>
      </c>
      <c r="AK92" s="85"/>
      <c r="AL92" s="85"/>
      <c r="AM92" s="85" t="s">
        <v>62</v>
      </c>
      <c r="AN92" s="85"/>
      <c r="AO92" s="85"/>
      <c r="AP92" s="85" t="s">
        <v>64</v>
      </c>
      <c r="AQ92" s="85"/>
      <c r="AR92" s="85"/>
    </row>
    <row r="93" spans="1:44" x14ac:dyDescent="0.3">
      <c r="A93" s="85" t="s">
        <v>65</v>
      </c>
      <c r="B93" s="85">
        <v>3.5</v>
      </c>
      <c r="C93" s="85"/>
      <c r="D93" s="85"/>
      <c r="E93" s="85" t="s">
        <v>65</v>
      </c>
      <c r="F93" s="85">
        <v>3.5</v>
      </c>
      <c r="G93" s="85"/>
      <c r="H93" s="85"/>
      <c r="I93" s="85" t="s">
        <v>65</v>
      </c>
      <c r="J93" s="85"/>
      <c r="K93" s="85"/>
      <c r="L93" s="85">
        <v>3.5</v>
      </c>
      <c r="M93" s="85"/>
      <c r="N93" s="85"/>
      <c r="O93" s="85" t="s">
        <v>65</v>
      </c>
      <c r="P93" s="85">
        <v>3.5</v>
      </c>
      <c r="Q93" s="85"/>
      <c r="R93" s="85"/>
      <c r="S93" s="85" t="s">
        <v>65</v>
      </c>
      <c r="T93" s="85"/>
      <c r="U93" s="85"/>
      <c r="V93" s="85">
        <v>3.5</v>
      </c>
      <c r="W93" s="85"/>
      <c r="X93" s="85"/>
      <c r="Y93" s="85" t="s">
        <v>65</v>
      </c>
      <c r="Z93" s="85">
        <v>3.5</v>
      </c>
      <c r="AA93" s="85"/>
      <c r="AB93" s="85"/>
      <c r="AC93" s="85" t="s">
        <v>65</v>
      </c>
      <c r="AD93" s="85"/>
      <c r="AE93" s="85"/>
      <c r="AF93" s="85">
        <v>3.5</v>
      </c>
      <c r="AG93" s="85"/>
      <c r="AH93" s="85"/>
      <c r="AI93" s="85" t="s">
        <v>65</v>
      </c>
      <c r="AJ93" s="85">
        <v>3.5</v>
      </c>
      <c r="AK93" s="85"/>
      <c r="AL93" s="85"/>
      <c r="AM93" s="85" t="s">
        <v>65</v>
      </c>
      <c r="AN93" s="85"/>
      <c r="AO93" s="85"/>
      <c r="AP93" s="85">
        <v>3.5</v>
      </c>
      <c r="AQ93" s="85"/>
      <c r="AR93" s="85"/>
    </row>
    <row r="94" spans="1:44" x14ac:dyDescent="0.3">
      <c r="A94" s="85" t="s">
        <v>66</v>
      </c>
      <c r="B94" s="85">
        <v>0.79169999999999996</v>
      </c>
      <c r="C94" s="85"/>
      <c r="D94" s="85"/>
      <c r="E94" s="85" t="s">
        <v>66</v>
      </c>
      <c r="F94" s="85">
        <v>0.89170000000000005</v>
      </c>
      <c r="G94" s="85"/>
      <c r="H94" s="85"/>
      <c r="I94" s="85" t="s">
        <v>66</v>
      </c>
      <c r="J94" s="85"/>
      <c r="K94" s="85"/>
      <c r="L94" s="85">
        <v>0.64</v>
      </c>
      <c r="M94" s="85"/>
      <c r="N94" s="85"/>
      <c r="O94" s="85" t="s">
        <v>66</v>
      </c>
      <c r="P94" s="85">
        <v>-0.29499999999999998</v>
      </c>
      <c r="Q94" s="85"/>
      <c r="R94" s="85"/>
      <c r="S94" s="85" t="s">
        <v>66</v>
      </c>
      <c r="T94" s="85"/>
      <c r="U94" s="85"/>
      <c r="V94" s="85">
        <v>3.3332999999999999</v>
      </c>
      <c r="W94" s="85"/>
      <c r="X94" s="85"/>
      <c r="Y94" s="85" t="s">
        <v>66</v>
      </c>
      <c r="Z94" s="85">
        <v>5.0867000000000004</v>
      </c>
      <c r="AA94" s="85"/>
      <c r="AB94" s="85"/>
      <c r="AC94" s="85" t="s">
        <v>66</v>
      </c>
      <c r="AD94" s="85"/>
      <c r="AE94" s="85"/>
      <c r="AF94" s="85">
        <v>-0.29330000000000001</v>
      </c>
      <c r="AG94" s="85"/>
      <c r="AH94" s="85"/>
      <c r="AI94" s="85" t="s">
        <v>66</v>
      </c>
      <c r="AJ94" s="85">
        <v>2.2783000000000002</v>
      </c>
      <c r="AK94" s="85"/>
      <c r="AL94" s="85"/>
      <c r="AM94" s="85" t="s">
        <v>66</v>
      </c>
      <c r="AN94" s="85"/>
      <c r="AO94" s="85"/>
      <c r="AP94" s="85">
        <v>5.2050000000000001</v>
      </c>
      <c r="AQ94" s="85"/>
      <c r="AR94" s="85"/>
    </row>
    <row r="95" spans="1:44" x14ac:dyDescent="0.3">
      <c r="A95" s="85" t="s">
        <v>67</v>
      </c>
      <c r="B95" s="85">
        <v>0.82789999999999997</v>
      </c>
      <c r="C95" s="85"/>
      <c r="D95" s="85"/>
      <c r="E95" s="85" t="s">
        <v>67</v>
      </c>
      <c r="F95" s="85">
        <v>0.32979999999999998</v>
      </c>
      <c r="G95" s="85"/>
      <c r="H95" s="85"/>
      <c r="I95" s="85" t="s">
        <v>67</v>
      </c>
      <c r="J95" s="85"/>
      <c r="K95" s="85"/>
      <c r="L95" s="85">
        <v>0.59530000000000005</v>
      </c>
      <c r="M95" s="85"/>
      <c r="N95" s="85"/>
      <c r="O95" s="85" t="s">
        <v>67</v>
      </c>
      <c r="P95" s="85">
        <v>0.16539999999999999</v>
      </c>
      <c r="Q95" s="85"/>
      <c r="R95" s="85"/>
      <c r="S95" s="85" t="s">
        <v>67</v>
      </c>
      <c r="T95" s="85"/>
      <c r="U95" s="85"/>
      <c r="V95" s="85">
        <v>0.1116</v>
      </c>
      <c r="W95" s="85"/>
      <c r="X95" s="85"/>
      <c r="Y95" s="85" t="s">
        <v>67</v>
      </c>
      <c r="Z95" s="85">
        <v>0.45290000000000002</v>
      </c>
      <c r="AA95" s="85"/>
      <c r="AB95" s="85"/>
      <c r="AC95" s="85" t="s">
        <v>67</v>
      </c>
      <c r="AD95" s="85"/>
      <c r="AE95" s="85"/>
      <c r="AF95" s="85">
        <v>0.66510000000000002</v>
      </c>
      <c r="AG95" s="85"/>
      <c r="AH95" s="85"/>
      <c r="AI95" s="85" t="s">
        <v>67</v>
      </c>
      <c r="AJ95" s="85">
        <v>0.13109999999999999</v>
      </c>
      <c r="AK95" s="85"/>
      <c r="AL95" s="85"/>
      <c r="AM95" s="85" t="s">
        <v>67</v>
      </c>
      <c r="AN95" s="85"/>
      <c r="AO95" s="85"/>
      <c r="AP95" s="85">
        <v>0.47139999999999999</v>
      </c>
      <c r="AQ95" s="85"/>
      <c r="AR95" s="85"/>
    </row>
    <row r="96" spans="1:44" x14ac:dyDescent="0.3">
      <c r="A96" s="85" t="s">
        <v>68</v>
      </c>
      <c r="B96" s="85">
        <v>0.78480000000000005</v>
      </c>
      <c r="C96" s="85"/>
      <c r="D96" s="85"/>
      <c r="E96" s="85" t="s">
        <v>68</v>
      </c>
      <c r="F96" s="85">
        <v>0.16220000000000001</v>
      </c>
      <c r="G96" s="85"/>
      <c r="H96" s="85"/>
      <c r="I96" s="85" t="s">
        <v>68</v>
      </c>
      <c r="J96" s="85"/>
      <c r="K96" s="85"/>
      <c r="L96" s="85">
        <v>0.49409999999999998</v>
      </c>
      <c r="M96" s="85"/>
      <c r="N96" s="85"/>
      <c r="O96" s="85" t="s">
        <v>68</v>
      </c>
      <c r="P96" s="85">
        <v>-4.3299999999999998E-2</v>
      </c>
      <c r="Q96" s="85"/>
      <c r="R96" s="85"/>
      <c r="S96" s="85" t="s">
        <v>68</v>
      </c>
      <c r="T96" s="85"/>
      <c r="U96" s="85"/>
      <c r="V96" s="85">
        <v>-0.1105</v>
      </c>
      <c r="W96" s="85"/>
      <c r="X96" s="85"/>
      <c r="Y96" s="85" t="s">
        <v>68</v>
      </c>
      <c r="Z96" s="85">
        <v>0.31609999999999999</v>
      </c>
      <c r="AA96" s="85"/>
      <c r="AB96" s="85"/>
      <c r="AC96" s="85" t="s">
        <v>68</v>
      </c>
      <c r="AD96" s="85"/>
      <c r="AE96" s="85"/>
      <c r="AF96" s="85">
        <v>0.58140000000000003</v>
      </c>
      <c r="AG96" s="85"/>
      <c r="AH96" s="85"/>
      <c r="AI96" s="85" t="s">
        <v>68</v>
      </c>
      <c r="AJ96" s="85">
        <v>-8.6199999999999999E-2</v>
      </c>
      <c r="AK96" s="85"/>
      <c r="AL96" s="85"/>
      <c r="AM96" s="85" t="s">
        <v>68</v>
      </c>
      <c r="AN96" s="85"/>
      <c r="AO96" s="85"/>
      <c r="AP96" s="85">
        <v>0.3392</v>
      </c>
      <c r="AQ96" s="85"/>
      <c r="AR96" s="85"/>
    </row>
    <row r="97" spans="1:44" x14ac:dyDescent="0.3">
      <c r="A97" s="85" t="s">
        <v>69</v>
      </c>
      <c r="B97" s="85">
        <v>0.90990000000000004</v>
      </c>
      <c r="C97" s="85"/>
      <c r="D97" s="85"/>
      <c r="E97" s="85" t="s">
        <v>69</v>
      </c>
      <c r="F97" s="85">
        <v>0.57430000000000003</v>
      </c>
      <c r="G97" s="85"/>
      <c r="H97" s="85"/>
      <c r="I97" s="85" t="s">
        <v>69</v>
      </c>
      <c r="J97" s="85"/>
      <c r="K97" s="85"/>
      <c r="L97" s="85">
        <v>0.77159999999999995</v>
      </c>
      <c r="M97" s="85"/>
      <c r="N97" s="85"/>
      <c r="O97" s="85" t="s">
        <v>69</v>
      </c>
      <c r="P97" s="85">
        <v>0.40660000000000002</v>
      </c>
      <c r="Q97" s="85"/>
      <c r="R97" s="85"/>
      <c r="S97" s="85" t="s">
        <v>69</v>
      </c>
      <c r="T97" s="85"/>
      <c r="U97" s="85"/>
      <c r="V97" s="85">
        <v>0.33400000000000002</v>
      </c>
      <c r="W97" s="85"/>
      <c r="X97" s="85"/>
      <c r="Y97" s="85" t="s">
        <v>69</v>
      </c>
      <c r="Z97" s="85">
        <v>0.67290000000000005</v>
      </c>
      <c r="AA97" s="85"/>
      <c r="AB97" s="85"/>
      <c r="AC97" s="85" t="s">
        <v>69</v>
      </c>
      <c r="AD97" s="85"/>
      <c r="AE97" s="85"/>
      <c r="AF97" s="85">
        <v>0.81559999999999999</v>
      </c>
      <c r="AG97" s="85"/>
      <c r="AH97" s="85"/>
      <c r="AI97" s="85" t="s">
        <v>69</v>
      </c>
      <c r="AJ97" s="85">
        <v>0.36199999999999999</v>
      </c>
      <c r="AK97" s="85"/>
      <c r="AL97" s="85"/>
      <c r="AM97" s="85" t="s">
        <v>69</v>
      </c>
      <c r="AN97" s="85"/>
      <c r="AO97" s="85"/>
      <c r="AP97" s="85">
        <v>0.68659999999999999</v>
      </c>
      <c r="AQ97" s="85"/>
      <c r="AR97" s="85"/>
    </row>
    <row r="98" spans="1:44" x14ac:dyDescent="0.3">
      <c r="A98" s="85" t="s">
        <v>70</v>
      </c>
      <c r="B98" s="85">
        <v>0.36670000000000003</v>
      </c>
      <c r="C98" s="85" t="s">
        <v>142</v>
      </c>
      <c r="D98" s="85" t="s">
        <v>143</v>
      </c>
      <c r="E98" s="85" t="s">
        <v>70</v>
      </c>
      <c r="F98" s="85">
        <v>0.56269999999999998</v>
      </c>
      <c r="G98" s="85" t="s">
        <v>144</v>
      </c>
      <c r="H98" s="85" t="s">
        <v>145</v>
      </c>
      <c r="I98" s="85" t="s">
        <v>70</v>
      </c>
      <c r="J98" s="85"/>
      <c r="K98" s="85"/>
      <c r="L98" s="85">
        <v>7.1999999999999995E-2</v>
      </c>
      <c r="M98" s="85" t="s">
        <v>146</v>
      </c>
      <c r="N98" s="85" t="s">
        <v>147</v>
      </c>
      <c r="O98" s="85" t="s">
        <v>70</v>
      </c>
      <c r="P98" s="85">
        <v>1.8340000000000001</v>
      </c>
      <c r="Q98" s="85" t="s">
        <v>148</v>
      </c>
      <c r="R98" s="85" t="s">
        <v>149</v>
      </c>
      <c r="S98" s="85" t="s">
        <v>70</v>
      </c>
      <c r="T98" s="85"/>
      <c r="U98" s="85"/>
      <c r="V98" s="85">
        <v>3.0832999999999999</v>
      </c>
      <c r="W98" s="85" t="s">
        <v>150</v>
      </c>
      <c r="X98" s="85" t="s">
        <v>151</v>
      </c>
      <c r="Y98" s="85" t="s">
        <v>70</v>
      </c>
      <c r="Z98" s="85">
        <v>4.5387000000000004</v>
      </c>
      <c r="AA98" s="85" t="s">
        <v>152</v>
      </c>
      <c r="AB98" s="85" t="s">
        <v>78</v>
      </c>
      <c r="AC98" s="85" t="s">
        <v>70</v>
      </c>
      <c r="AD98" s="85"/>
      <c r="AE98" s="85"/>
      <c r="AF98" s="85">
        <v>-4.3733000000000004</v>
      </c>
      <c r="AG98" s="85" t="s">
        <v>153</v>
      </c>
      <c r="AH98" s="85" t="s">
        <v>154</v>
      </c>
      <c r="AI98" s="85" t="s">
        <v>70</v>
      </c>
      <c r="AJ98" s="85">
        <v>3.7652999999999999</v>
      </c>
      <c r="AK98" s="85" t="s">
        <v>155</v>
      </c>
      <c r="AL98" s="85" t="s">
        <v>156</v>
      </c>
      <c r="AM98" s="85" t="s">
        <v>70</v>
      </c>
      <c r="AN98" s="85"/>
      <c r="AO98" s="85"/>
      <c r="AP98" s="85">
        <v>4.7480000000000002</v>
      </c>
      <c r="AQ98" s="85" t="s">
        <v>157</v>
      </c>
      <c r="AR98" s="85" t="s">
        <v>78</v>
      </c>
    </row>
    <row r="99" spans="1:44" x14ac:dyDescent="0.3">
      <c r="A99" s="85" t="s">
        <v>86</v>
      </c>
      <c r="B99" s="85">
        <v>0.12139999999999999</v>
      </c>
      <c r="C99" s="85" t="s">
        <v>158</v>
      </c>
      <c r="D99" s="85" t="s">
        <v>159</v>
      </c>
      <c r="E99" s="85" t="s">
        <v>86</v>
      </c>
      <c r="F99" s="85">
        <v>9.4E-2</v>
      </c>
      <c r="G99" s="85" t="s">
        <v>160</v>
      </c>
      <c r="H99" s="85" t="s">
        <v>161</v>
      </c>
      <c r="I99" s="85" t="s">
        <v>86</v>
      </c>
      <c r="J99" s="85"/>
      <c r="K99" s="85"/>
      <c r="L99" s="85">
        <v>0.1623</v>
      </c>
      <c r="M99" s="85" t="s">
        <v>162</v>
      </c>
      <c r="N99" s="85" t="s">
        <v>163</v>
      </c>
      <c r="O99" s="85" t="s">
        <v>86</v>
      </c>
      <c r="P99" s="85">
        <v>-0.60829999999999995</v>
      </c>
      <c r="Q99" s="85" t="s">
        <v>164</v>
      </c>
      <c r="R99" s="85" t="s">
        <v>165</v>
      </c>
      <c r="S99" s="85" t="s">
        <v>86</v>
      </c>
      <c r="T99" s="85"/>
      <c r="U99" s="85"/>
      <c r="V99" s="85">
        <v>7.1400000000000005E-2</v>
      </c>
      <c r="W99" s="85" t="s">
        <v>166</v>
      </c>
      <c r="X99" s="85" t="s">
        <v>167</v>
      </c>
      <c r="Y99" s="85" t="s">
        <v>86</v>
      </c>
      <c r="Z99" s="85">
        <v>0.15659999999999999</v>
      </c>
      <c r="AA99" s="85" t="s">
        <v>168</v>
      </c>
      <c r="AB99" s="85" t="s">
        <v>169</v>
      </c>
      <c r="AC99" s="85" t="s">
        <v>86</v>
      </c>
      <c r="AD99" s="85"/>
      <c r="AE99" s="85"/>
      <c r="AF99" s="85">
        <v>1.1657</v>
      </c>
      <c r="AG99" s="85" t="s">
        <v>170</v>
      </c>
      <c r="AH99" s="85" t="s">
        <v>171</v>
      </c>
      <c r="AI99" s="85" t="s">
        <v>86</v>
      </c>
      <c r="AJ99" s="85">
        <v>-0.4249</v>
      </c>
      <c r="AK99" s="85" t="s">
        <v>172</v>
      </c>
      <c r="AL99" s="85" t="s">
        <v>173</v>
      </c>
      <c r="AM99" s="85" t="s">
        <v>86</v>
      </c>
      <c r="AN99" s="85"/>
      <c r="AO99" s="85"/>
      <c r="AP99" s="85">
        <v>0.13059999999999999</v>
      </c>
      <c r="AQ99" s="85" t="s">
        <v>174</v>
      </c>
      <c r="AR99" s="85" t="s">
        <v>175</v>
      </c>
    </row>
    <row r="100" spans="1:44" x14ac:dyDescent="0.3">
      <c r="A100" s="85" t="s">
        <v>103</v>
      </c>
      <c r="B100" s="85" t="s">
        <v>176</v>
      </c>
      <c r="C100" s="85"/>
      <c r="D100" s="85"/>
      <c r="E100" s="85" t="s">
        <v>103</v>
      </c>
      <c r="F100" s="85" t="s">
        <v>177</v>
      </c>
      <c r="G100" s="85"/>
      <c r="H100" s="85"/>
      <c r="I100" s="85" t="s">
        <v>103</v>
      </c>
      <c r="J100" s="85"/>
      <c r="K100" s="85"/>
      <c r="L100" s="85" t="s">
        <v>178</v>
      </c>
      <c r="M100" s="85"/>
      <c r="N100" s="85"/>
      <c r="O100" s="85" t="s">
        <v>103</v>
      </c>
      <c r="P100" s="85" t="s">
        <v>179</v>
      </c>
      <c r="Q100" s="85"/>
      <c r="R100" s="85"/>
      <c r="S100" s="85" t="s">
        <v>103</v>
      </c>
      <c r="T100" s="85"/>
      <c r="U100" s="85"/>
      <c r="V100" s="85" t="s">
        <v>180</v>
      </c>
      <c r="W100" s="85"/>
      <c r="X100" s="85"/>
      <c r="Y100" s="85" t="s">
        <v>103</v>
      </c>
      <c r="Z100" s="85" t="s">
        <v>181</v>
      </c>
      <c r="AA100" s="85"/>
      <c r="AB100" s="85"/>
      <c r="AC100" s="85" t="s">
        <v>103</v>
      </c>
      <c r="AD100" s="85"/>
      <c r="AE100" s="85"/>
      <c r="AF100" s="85" t="s">
        <v>182</v>
      </c>
      <c r="AG100" s="85"/>
      <c r="AH100" s="85"/>
      <c r="AI100" s="85" t="s">
        <v>103</v>
      </c>
      <c r="AJ100" s="85" t="s">
        <v>183</v>
      </c>
      <c r="AK100" s="85"/>
      <c r="AL100" s="85"/>
      <c r="AM100" s="85" t="s">
        <v>103</v>
      </c>
      <c r="AN100" s="85"/>
      <c r="AO100" s="85"/>
      <c r="AP100" s="85" t="s">
        <v>184</v>
      </c>
      <c r="AQ100" s="85"/>
      <c r="AR100" s="85"/>
    </row>
    <row r="101" spans="1:44" x14ac:dyDescent="0.3">
      <c r="A101" s="85" t="s">
        <v>113</v>
      </c>
      <c r="B101" s="85" t="s">
        <v>185</v>
      </c>
      <c r="C101" s="85"/>
      <c r="D101" s="85"/>
      <c r="E101" s="85" t="s">
        <v>113</v>
      </c>
      <c r="F101" s="85" t="s">
        <v>186</v>
      </c>
      <c r="G101" s="85"/>
      <c r="H101" s="85"/>
      <c r="I101" s="85" t="s">
        <v>113</v>
      </c>
      <c r="J101" s="85"/>
      <c r="K101" s="85"/>
      <c r="L101" s="85" t="s">
        <v>187</v>
      </c>
      <c r="M101" s="85"/>
      <c r="N101" s="85"/>
      <c r="O101" s="85" t="s">
        <v>113</v>
      </c>
      <c r="P101" s="85" t="s">
        <v>188</v>
      </c>
      <c r="Q101" s="85"/>
      <c r="R101" s="85"/>
      <c r="S101" s="85" t="s">
        <v>113</v>
      </c>
      <c r="T101" s="85"/>
      <c r="U101" s="85"/>
      <c r="V101" s="85" t="s">
        <v>189</v>
      </c>
      <c r="W101" s="85"/>
      <c r="X101" s="85"/>
      <c r="Y101" s="85" t="s">
        <v>113</v>
      </c>
      <c r="Z101" s="85" t="s">
        <v>190</v>
      </c>
      <c r="AA101" s="85"/>
      <c r="AB101" s="85"/>
      <c r="AC101" s="85" t="s">
        <v>113</v>
      </c>
      <c r="AD101" s="85"/>
      <c r="AE101" s="85"/>
      <c r="AF101" s="85" t="s">
        <v>191</v>
      </c>
      <c r="AG101" s="85"/>
      <c r="AH101" s="85"/>
      <c r="AI101" s="85" t="s">
        <v>113</v>
      </c>
      <c r="AJ101" s="85" t="s">
        <v>192</v>
      </c>
      <c r="AK101" s="85"/>
      <c r="AL101" s="85"/>
      <c r="AM101" s="85" t="s">
        <v>113</v>
      </c>
      <c r="AN101" s="85"/>
      <c r="AO101" s="85"/>
      <c r="AP101" s="85" t="s">
        <v>193</v>
      </c>
      <c r="AQ101" s="85"/>
      <c r="AR101" s="85"/>
    </row>
    <row r="102" spans="1:44" x14ac:dyDescent="0.3">
      <c r="A102" s="85" t="s">
        <v>123</v>
      </c>
      <c r="B102" s="85" t="s">
        <v>124</v>
      </c>
      <c r="C102" s="85"/>
      <c r="D102" s="85"/>
      <c r="E102" s="85" t="s">
        <v>123</v>
      </c>
      <c r="F102" s="85" t="s">
        <v>124</v>
      </c>
      <c r="G102" s="85"/>
      <c r="H102" s="85"/>
      <c r="I102" s="85" t="s">
        <v>123</v>
      </c>
      <c r="J102" s="85"/>
      <c r="K102" s="85"/>
      <c r="L102" s="85" t="s">
        <v>124</v>
      </c>
      <c r="M102" s="85"/>
      <c r="N102" s="85"/>
      <c r="O102" s="85" t="s">
        <v>123</v>
      </c>
      <c r="P102" s="85" t="s">
        <v>124</v>
      </c>
      <c r="Q102" s="85"/>
      <c r="R102" s="85"/>
      <c r="S102" s="85" t="s">
        <v>123</v>
      </c>
      <c r="T102" s="85"/>
      <c r="U102" s="85"/>
      <c r="V102" s="85" t="s">
        <v>124</v>
      </c>
      <c r="W102" s="85"/>
      <c r="X102" s="85"/>
      <c r="Y102" s="85" t="s">
        <v>123</v>
      </c>
      <c r="Z102" s="85" t="s">
        <v>124</v>
      </c>
      <c r="AA102" s="85"/>
      <c r="AB102" s="85"/>
      <c r="AC102" s="85" t="s">
        <v>123</v>
      </c>
      <c r="AD102" s="85"/>
      <c r="AE102" s="85"/>
      <c r="AF102" s="85" t="s">
        <v>124</v>
      </c>
      <c r="AG102" s="85"/>
      <c r="AH102" s="85"/>
      <c r="AI102" s="85" t="s">
        <v>123</v>
      </c>
      <c r="AJ102" s="85" t="s">
        <v>124</v>
      </c>
      <c r="AK102" s="85"/>
      <c r="AL102" s="85"/>
      <c r="AM102" s="85" t="s">
        <v>123</v>
      </c>
      <c r="AN102" s="85"/>
      <c r="AO102" s="85"/>
      <c r="AP102" s="85" t="s">
        <v>124</v>
      </c>
      <c r="AQ102" s="85"/>
      <c r="AR102" s="85"/>
    </row>
    <row r="119" spans="1:44" x14ac:dyDescent="0.3">
      <c r="A119" s="84" t="s">
        <v>194</v>
      </c>
      <c r="B119" s="84"/>
      <c r="C119" s="84"/>
      <c r="D119" s="84"/>
      <c r="E119" s="84" t="s">
        <v>195</v>
      </c>
      <c r="F119" s="84"/>
      <c r="G119" s="84"/>
      <c r="H119" s="84"/>
      <c r="I119" s="84" t="s">
        <v>196</v>
      </c>
      <c r="J119" s="84"/>
      <c r="K119" s="84"/>
      <c r="L119" s="84"/>
      <c r="M119" s="84"/>
      <c r="N119" s="84"/>
      <c r="O119" s="84" t="s">
        <v>197</v>
      </c>
      <c r="P119" s="84"/>
      <c r="Q119" s="84"/>
      <c r="R119" s="84"/>
      <c r="S119" s="84" t="s">
        <v>198</v>
      </c>
      <c r="T119" s="84"/>
      <c r="U119" s="84"/>
      <c r="V119" s="84"/>
      <c r="W119" s="84"/>
      <c r="X119" s="84"/>
      <c r="Y119" s="84" t="s">
        <v>199</v>
      </c>
      <c r="Z119" s="84"/>
      <c r="AA119" s="84"/>
      <c r="AB119" s="84"/>
      <c r="AC119" s="84" t="s">
        <v>200</v>
      </c>
      <c r="AD119" s="84"/>
      <c r="AE119" s="84"/>
      <c r="AF119" s="84"/>
      <c r="AG119" s="84"/>
      <c r="AH119" s="84"/>
      <c r="AI119" s="84" t="s">
        <v>201</v>
      </c>
      <c r="AJ119" s="84"/>
      <c r="AK119" s="84"/>
      <c r="AL119" s="84"/>
      <c r="AM119" s="84" t="s">
        <v>202</v>
      </c>
      <c r="AN119" s="84"/>
      <c r="AO119" s="84"/>
      <c r="AP119" s="84"/>
      <c r="AQ119" s="84"/>
      <c r="AR119" s="84"/>
    </row>
    <row r="120" spans="1:44" x14ac:dyDescent="0.3">
      <c r="A120" s="85" t="s">
        <v>41</v>
      </c>
      <c r="B120" s="85" t="s">
        <v>42</v>
      </c>
      <c r="C120" s="85" t="s">
        <v>43</v>
      </c>
      <c r="D120" s="85" t="s">
        <v>44</v>
      </c>
      <c r="E120" s="85" t="s">
        <v>41</v>
      </c>
      <c r="F120" s="85" t="s">
        <v>42</v>
      </c>
      <c r="G120" s="85" t="s">
        <v>43</v>
      </c>
      <c r="H120" s="85" t="s">
        <v>44</v>
      </c>
      <c r="I120" s="85" t="s">
        <v>41</v>
      </c>
      <c r="J120" s="85"/>
      <c r="K120" s="85"/>
      <c r="L120" s="85" t="s">
        <v>42</v>
      </c>
      <c r="M120" s="85" t="s">
        <v>43</v>
      </c>
      <c r="N120" s="85" t="s">
        <v>44</v>
      </c>
      <c r="O120" s="85" t="s">
        <v>41</v>
      </c>
      <c r="P120" s="85" t="s">
        <v>42</v>
      </c>
      <c r="Q120" s="85" t="s">
        <v>43</v>
      </c>
      <c r="R120" s="85" t="s">
        <v>44</v>
      </c>
      <c r="S120" s="85" t="s">
        <v>41</v>
      </c>
      <c r="T120" s="85"/>
      <c r="U120" s="85"/>
      <c r="V120" s="85" t="s">
        <v>42</v>
      </c>
      <c r="W120" s="85" t="s">
        <v>43</v>
      </c>
      <c r="X120" s="85" t="s">
        <v>44</v>
      </c>
      <c r="Y120" s="85" t="s">
        <v>41</v>
      </c>
      <c r="Z120" s="85" t="s">
        <v>42</v>
      </c>
      <c r="AA120" s="85" t="s">
        <v>43</v>
      </c>
      <c r="AB120" s="85" t="s">
        <v>44</v>
      </c>
      <c r="AC120" s="85" t="s">
        <v>41</v>
      </c>
      <c r="AD120" s="85"/>
      <c r="AE120" s="85"/>
      <c r="AF120" s="85" t="s">
        <v>42</v>
      </c>
      <c r="AG120" s="85" t="s">
        <v>43</v>
      </c>
      <c r="AH120" s="85" t="s">
        <v>44</v>
      </c>
      <c r="AI120" s="85" t="s">
        <v>41</v>
      </c>
      <c r="AJ120" s="85" t="s">
        <v>42</v>
      </c>
      <c r="AK120" s="85" t="s">
        <v>43</v>
      </c>
      <c r="AL120" s="85" t="s">
        <v>44</v>
      </c>
      <c r="AM120" s="85" t="s">
        <v>41</v>
      </c>
      <c r="AN120" s="85"/>
      <c r="AO120" s="85"/>
      <c r="AP120" s="85" t="s">
        <v>42</v>
      </c>
      <c r="AQ120" s="85" t="s">
        <v>43</v>
      </c>
      <c r="AR120" s="85" t="s">
        <v>44</v>
      </c>
    </row>
    <row r="121" spans="1:44" x14ac:dyDescent="0.3">
      <c r="A121" s="85" t="s">
        <v>45</v>
      </c>
      <c r="B121" s="85">
        <v>1</v>
      </c>
      <c r="C121" s="85">
        <v>0.2472</v>
      </c>
      <c r="D121" s="85">
        <v>0.2472</v>
      </c>
      <c r="E121" s="85" t="s">
        <v>45</v>
      </c>
      <c r="F121" s="85">
        <v>1</v>
      </c>
      <c r="G121" s="85">
        <v>0.1537</v>
      </c>
      <c r="H121" s="85">
        <v>0.1537</v>
      </c>
      <c r="I121" s="85" t="s">
        <v>45</v>
      </c>
      <c r="J121" s="85"/>
      <c r="K121" s="85"/>
      <c r="L121" s="85">
        <v>1</v>
      </c>
      <c r="M121" s="85">
        <v>0.51939999999999997</v>
      </c>
      <c r="N121" s="85">
        <v>0.51939999999999997</v>
      </c>
      <c r="O121" s="85" t="s">
        <v>45</v>
      </c>
      <c r="P121" s="85">
        <v>1</v>
      </c>
      <c r="Q121" s="85">
        <v>6.7900000000000002E-2</v>
      </c>
      <c r="R121" s="85">
        <v>6.7900000000000002E-2</v>
      </c>
      <c r="S121" s="85" t="s">
        <v>45</v>
      </c>
      <c r="T121" s="85"/>
      <c r="U121" s="85"/>
      <c r="V121" s="85">
        <v>1</v>
      </c>
      <c r="W121" s="85">
        <v>0.41499999999999998</v>
      </c>
      <c r="X121" s="85">
        <v>0.41499999999999998</v>
      </c>
      <c r="Y121" s="85" t="s">
        <v>45</v>
      </c>
      <c r="Z121" s="85">
        <v>1</v>
      </c>
      <c r="AA121" s="85">
        <v>6.9099999999999995E-2</v>
      </c>
      <c r="AB121" s="85">
        <v>6.9099999999999995E-2</v>
      </c>
      <c r="AC121" s="85" t="s">
        <v>45</v>
      </c>
      <c r="AD121" s="85"/>
      <c r="AE121" s="85"/>
      <c r="AF121" s="85">
        <v>1</v>
      </c>
      <c r="AG121" s="85">
        <v>5.7000000000000002E-3</v>
      </c>
      <c r="AH121" s="85">
        <v>5.7000000000000002E-3</v>
      </c>
      <c r="AI121" s="85" t="s">
        <v>45</v>
      </c>
      <c r="AJ121" s="85">
        <v>1</v>
      </c>
      <c r="AK121" s="85">
        <v>0.5212</v>
      </c>
      <c r="AL121" s="85">
        <v>0.5212</v>
      </c>
      <c r="AM121" s="85" t="s">
        <v>45</v>
      </c>
      <c r="AN121" s="85"/>
      <c r="AO121" s="85"/>
      <c r="AP121" s="85">
        <v>1</v>
      </c>
      <c r="AQ121" s="85">
        <v>0.41810000000000003</v>
      </c>
      <c r="AR121" s="85">
        <v>0.41810000000000003</v>
      </c>
    </row>
    <row r="122" spans="1:44" x14ac:dyDescent="0.3">
      <c r="A122" s="85" t="s">
        <v>46</v>
      </c>
      <c r="B122" s="85">
        <v>4</v>
      </c>
      <c r="C122" s="85">
        <v>2.5499999999999998E-2</v>
      </c>
      <c r="D122" s="85">
        <v>6.4000000000000003E-3</v>
      </c>
      <c r="E122" s="85" t="s">
        <v>46</v>
      </c>
      <c r="F122" s="85">
        <v>4</v>
      </c>
      <c r="G122" s="85">
        <v>2.4E-2</v>
      </c>
      <c r="H122" s="85">
        <v>6.0000000000000001E-3</v>
      </c>
      <c r="I122" s="85" t="s">
        <v>46</v>
      </c>
      <c r="J122" s="85"/>
      <c r="K122" s="85"/>
      <c r="L122" s="85">
        <v>4</v>
      </c>
      <c r="M122" s="85">
        <v>0.1431</v>
      </c>
      <c r="N122" s="85">
        <v>3.5799999999999998E-2</v>
      </c>
      <c r="O122" s="85" t="s">
        <v>46</v>
      </c>
      <c r="P122" s="85">
        <v>4</v>
      </c>
      <c r="Q122" s="85">
        <v>0.3301</v>
      </c>
      <c r="R122" s="85">
        <v>8.2500000000000004E-2</v>
      </c>
      <c r="S122" s="85" t="s">
        <v>46</v>
      </c>
      <c r="T122" s="85"/>
      <c r="U122" s="85"/>
      <c r="V122" s="85">
        <v>4</v>
      </c>
      <c r="W122" s="85">
        <v>0.21129999999999999</v>
      </c>
      <c r="X122" s="85">
        <v>5.28E-2</v>
      </c>
      <c r="Y122" s="85" t="s">
        <v>46</v>
      </c>
      <c r="Z122" s="85">
        <v>4</v>
      </c>
      <c r="AA122" s="85">
        <v>1.7000000000000001E-2</v>
      </c>
      <c r="AB122" s="85">
        <v>4.1999999999999997E-3</v>
      </c>
      <c r="AC122" s="85" t="s">
        <v>46</v>
      </c>
      <c r="AD122" s="85"/>
      <c r="AE122" s="85"/>
      <c r="AF122" s="85">
        <v>4</v>
      </c>
      <c r="AG122" s="85">
        <v>1.4331</v>
      </c>
      <c r="AH122" s="85">
        <v>0.35830000000000001</v>
      </c>
      <c r="AI122" s="85" t="s">
        <v>46</v>
      </c>
      <c r="AJ122" s="85">
        <v>4</v>
      </c>
      <c r="AK122" s="85">
        <v>0.13439999999999999</v>
      </c>
      <c r="AL122" s="85">
        <v>3.3599999999999998E-2</v>
      </c>
      <c r="AM122" s="85" t="s">
        <v>46</v>
      </c>
      <c r="AN122" s="85"/>
      <c r="AO122" s="85"/>
      <c r="AP122" s="85">
        <v>4</v>
      </c>
      <c r="AQ122" s="85">
        <v>0.248</v>
      </c>
      <c r="AR122" s="85">
        <v>6.2E-2</v>
      </c>
    </row>
    <row r="123" spans="1:44" x14ac:dyDescent="0.3">
      <c r="A123" s="85" t="s">
        <v>47</v>
      </c>
      <c r="B123" s="85">
        <v>5</v>
      </c>
      <c r="C123" s="85">
        <v>0.2727</v>
      </c>
      <c r="D123" s="85" t="s">
        <v>48</v>
      </c>
      <c r="E123" s="85" t="s">
        <v>47</v>
      </c>
      <c r="F123" s="85">
        <v>5</v>
      </c>
      <c r="G123" s="85">
        <v>0.1777</v>
      </c>
      <c r="H123" s="85" t="s">
        <v>48</v>
      </c>
      <c r="I123" s="85" t="s">
        <v>47</v>
      </c>
      <c r="J123" s="85"/>
      <c r="K123" s="85"/>
      <c r="L123" s="85">
        <v>5</v>
      </c>
      <c r="M123" s="85">
        <v>0.66259999999999997</v>
      </c>
      <c r="N123" s="85" t="s">
        <v>48</v>
      </c>
      <c r="O123" s="85" t="s">
        <v>47</v>
      </c>
      <c r="P123" s="85">
        <v>5</v>
      </c>
      <c r="Q123" s="85">
        <v>0.39800000000000002</v>
      </c>
      <c r="R123" s="85" t="s">
        <v>48</v>
      </c>
      <c r="S123" s="85" t="s">
        <v>47</v>
      </c>
      <c r="T123" s="85"/>
      <c r="U123" s="85"/>
      <c r="V123" s="85">
        <v>5</v>
      </c>
      <c r="W123" s="85">
        <v>0.62629999999999997</v>
      </c>
      <c r="X123" s="85" t="s">
        <v>48</v>
      </c>
      <c r="Y123" s="85" t="s">
        <v>47</v>
      </c>
      <c r="Z123" s="85">
        <v>5</v>
      </c>
      <c r="AA123" s="85">
        <v>8.6099999999999996E-2</v>
      </c>
      <c r="AB123" s="85" t="s">
        <v>48</v>
      </c>
      <c r="AC123" s="85" t="s">
        <v>47</v>
      </c>
      <c r="AD123" s="85"/>
      <c r="AE123" s="85"/>
      <c r="AF123" s="85">
        <v>5</v>
      </c>
      <c r="AG123" s="85">
        <v>1.4388000000000001</v>
      </c>
      <c r="AH123" s="85" t="s">
        <v>48</v>
      </c>
      <c r="AI123" s="85" t="s">
        <v>47</v>
      </c>
      <c r="AJ123" s="85">
        <v>5</v>
      </c>
      <c r="AK123" s="85">
        <v>0.65559999999999996</v>
      </c>
      <c r="AL123" s="85" t="s">
        <v>48</v>
      </c>
      <c r="AM123" s="85" t="s">
        <v>47</v>
      </c>
      <c r="AN123" s="85"/>
      <c r="AO123" s="85"/>
      <c r="AP123" s="85">
        <v>5</v>
      </c>
      <c r="AQ123" s="85">
        <v>0.66620000000000001</v>
      </c>
      <c r="AR123" s="85" t="s">
        <v>48</v>
      </c>
    </row>
    <row r="124" spans="1:44" x14ac:dyDescent="0.3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</row>
    <row r="125" spans="1:44" x14ac:dyDescent="0.3">
      <c r="A125" s="85" t="s">
        <v>49</v>
      </c>
      <c r="B125" s="85">
        <v>38.764099999999999</v>
      </c>
      <c r="C125" s="85" t="s">
        <v>203</v>
      </c>
      <c r="D125" s="85"/>
      <c r="E125" s="85" t="s">
        <v>49</v>
      </c>
      <c r="F125" s="85">
        <v>25.570599999999999</v>
      </c>
      <c r="G125" s="85" t="s">
        <v>76</v>
      </c>
      <c r="H125" s="85"/>
      <c r="I125" s="85" t="s">
        <v>49</v>
      </c>
      <c r="J125" s="85"/>
      <c r="K125" s="85"/>
      <c r="L125" s="85">
        <v>14.518800000000001</v>
      </c>
      <c r="M125" s="85" t="s">
        <v>204</v>
      </c>
      <c r="N125" s="85"/>
      <c r="O125" s="85" t="s">
        <v>49</v>
      </c>
      <c r="P125" s="85">
        <v>0.82269999999999999</v>
      </c>
      <c r="Q125" s="85" t="s">
        <v>205</v>
      </c>
      <c r="R125" s="85"/>
      <c r="S125" s="85" t="s">
        <v>49</v>
      </c>
      <c r="T125" s="85"/>
      <c r="U125" s="85"/>
      <c r="V125" s="85">
        <v>7.8583999999999996</v>
      </c>
      <c r="W125" s="85" t="s">
        <v>206</v>
      </c>
      <c r="X125" s="85"/>
      <c r="Y125" s="85" t="s">
        <v>49</v>
      </c>
      <c r="Z125" s="85">
        <v>16.277999999999999</v>
      </c>
      <c r="AA125" s="85" t="s">
        <v>207</v>
      </c>
      <c r="AB125" s="85"/>
      <c r="AC125" s="85" t="s">
        <v>49</v>
      </c>
      <c r="AD125" s="85"/>
      <c r="AE125" s="85"/>
      <c r="AF125" s="85">
        <v>1.5800000000000002E-2</v>
      </c>
      <c r="AG125" s="85" t="s">
        <v>208</v>
      </c>
      <c r="AH125" s="85"/>
      <c r="AI125" s="85" t="s">
        <v>49</v>
      </c>
      <c r="AJ125" s="85">
        <v>15.5069</v>
      </c>
      <c r="AK125" s="85" t="s">
        <v>209</v>
      </c>
      <c r="AL125" s="85"/>
      <c r="AM125" s="85" t="s">
        <v>49</v>
      </c>
      <c r="AN125" s="85"/>
      <c r="AO125" s="85"/>
      <c r="AP125" s="85">
        <v>6.7428999999999997</v>
      </c>
      <c r="AQ125" s="85" t="s">
        <v>210</v>
      </c>
      <c r="AR125" s="85"/>
    </row>
    <row r="126" spans="1:44" x14ac:dyDescent="0.3">
      <c r="A126" s="85" t="s">
        <v>59</v>
      </c>
      <c r="B126" s="85" t="s">
        <v>61</v>
      </c>
      <c r="C126" s="85"/>
      <c r="D126" s="85"/>
      <c r="E126" s="85" t="s">
        <v>59</v>
      </c>
      <c r="F126" s="85" t="s">
        <v>61</v>
      </c>
      <c r="G126" s="85"/>
      <c r="H126" s="85"/>
      <c r="I126" s="85" t="s">
        <v>59</v>
      </c>
      <c r="J126" s="85"/>
      <c r="K126" s="85"/>
      <c r="L126" s="85" t="s">
        <v>61</v>
      </c>
      <c r="M126" s="85"/>
      <c r="N126" s="85"/>
      <c r="O126" s="85" t="s">
        <v>59</v>
      </c>
      <c r="P126" s="85" t="s">
        <v>61</v>
      </c>
      <c r="Q126" s="85"/>
      <c r="R126" s="85"/>
      <c r="S126" s="85" t="s">
        <v>59</v>
      </c>
      <c r="T126" s="85"/>
      <c r="U126" s="85"/>
      <c r="V126" s="85" t="s">
        <v>61</v>
      </c>
      <c r="W126" s="85"/>
      <c r="X126" s="85"/>
      <c r="Y126" s="85" t="s">
        <v>59</v>
      </c>
      <c r="Z126" s="85" t="s">
        <v>61</v>
      </c>
      <c r="AA126" s="85"/>
      <c r="AB126" s="85"/>
      <c r="AC126" s="85" t="s">
        <v>59</v>
      </c>
      <c r="AD126" s="85"/>
      <c r="AE126" s="85"/>
      <c r="AF126" s="85" t="s">
        <v>61</v>
      </c>
      <c r="AG126" s="85"/>
      <c r="AH126" s="85"/>
      <c r="AI126" s="85" t="s">
        <v>59</v>
      </c>
      <c r="AJ126" s="85" t="s">
        <v>61</v>
      </c>
      <c r="AK126" s="85"/>
      <c r="AL126" s="85"/>
      <c r="AM126" s="85" t="s">
        <v>59</v>
      </c>
      <c r="AN126" s="85"/>
      <c r="AO126" s="85"/>
      <c r="AP126" s="85" t="s">
        <v>61</v>
      </c>
      <c r="AQ126" s="85"/>
      <c r="AR126" s="85"/>
    </row>
    <row r="127" spans="1:44" x14ac:dyDescent="0.3">
      <c r="A127" s="85" t="s">
        <v>62</v>
      </c>
      <c r="B127" s="85" t="s">
        <v>64</v>
      </c>
      <c r="C127" s="85"/>
      <c r="D127" s="85"/>
      <c r="E127" s="85" t="s">
        <v>62</v>
      </c>
      <c r="F127" s="85" t="s">
        <v>64</v>
      </c>
      <c r="G127" s="85"/>
      <c r="H127" s="85"/>
      <c r="I127" s="85" t="s">
        <v>62</v>
      </c>
      <c r="J127" s="85"/>
      <c r="K127" s="85"/>
      <c r="L127" s="85" t="s">
        <v>64</v>
      </c>
      <c r="M127" s="85"/>
      <c r="N127" s="85"/>
      <c r="O127" s="85" t="s">
        <v>62</v>
      </c>
      <c r="P127" s="85" t="s">
        <v>64</v>
      </c>
      <c r="Q127" s="85"/>
      <c r="R127" s="85"/>
      <c r="S127" s="85" t="s">
        <v>62</v>
      </c>
      <c r="T127" s="85"/>
      <c r="U127" s="85"/>
      <c r="V127" s="85" t="s">
        <v>64</v>
      </c>
      <c r="W127" s="85"/>
      <c r="X127" s="85"/>
      <c r="Y127" s="85" t="s">
        <v>62</v>
      </c>
      <c r="Z127" s="85" t="s">
        <v>64</v>
      </c>
      <c r="AA127" s="85"/>
      <c r="AB127" s="85"/>
      <c r="AC127" s="85" t="s">
        <v>62</v>
      </c>
      <c r="AD127" s="85"/>
      <c r="AE127" s="85"/>
      <c r="AF127" s="85" t="s">
        <v>64</v>
      </c>
      <c r="AG127" s="85"/>
      <c r="AH127" s="85"/>
      <c r="AI127" s="85" t="s">
        <v>62</v>
      </c>
      <c r="AJ127" s="85" t="s">
        <v>64</v>
      </c>
      <c r="AK127" s="85"/>
      <c r="AL127" s="85"/>
      <c r="AM127" s="85" t="s">
        <v>62</v>
      </c>
      <c r="AN127" s="85"/>
      <c r="AO127" s="85"/>
      <c r="AP127" s="85" t="s">
        <v>64</v>
      </c>
      <c r="AQ127" s="85"/>
      <c r="AR127" s="85"/>
    </row>
    <row r="128" spans="1:44" x14ac:dyDescent="0.3">
      <c r="A128" s="85" t="s">
        <v>65</v>
      </c>
      <c r="B128" s="85">
        <v>3.5</v>
      </c>
      <c r="C128" s="85"/>
      <c r="D128" s="85"/>
      <c r="E128" s="85" t="s">
        <v>65</v>
      </c>
      <c r="F128" s="85">
        <v>3.5</v>
      </c>
      <c r="G128" s="85"/>
      <c r="H128" s="85"/>
      <c r="I128" s="85" t="s">
        <v>65</v>
      </c>
      <c r="J128" s="85"/>
      <c r="K128" s="85"/>
      <c r="L128" s="85">
        <v>3.5</v>
      </c>
      <c r="M128" s="85"/>
      <c r="N128" s="85"/>
      <c r="O128" s="85" t="s">
        <v>65</v>
      </c>
      <c r="P128" s="85">
        <v>3.5</v>
      </c>
      <c r="Q128" s="85"/>
      <c r="R128" s="85"/>
      <c r="S128" s="85" t="s">
        <v>65</v>
      </c>
      <c r="T128" s="85"/>
      <c r="U128" s="85"/>
      <c r="V128" s="85">
        <v>3.5</v>
      </c>
      <c r="W128" s="85"/>
      <c r="X128" s="85"/>
      <c r="Y128" s="85" t="s">
        <v>65</v>
      </c>
      <c r="Z128" s="85">
        <v>3.5</v>
      </c>
      <c r="AA128" s="85"/>
      <c r="AB128" s="85"/>
      <c r="AC128" s="85" t="s">
        <v>65</v>
      </c>
      <c r="AD128" s="85"/>
      <c r="AE128" s="85"/>
      <c r="AF128" s="85">
        <v>3.5</v>
      </c>
      <c r="AG128" s="85"/>
      <c r="AH128" s="85"/>
      <c r="AI128" s="85" t="s">
        <v>65</v>
      </c>
      <c r="AJ128" s="85">
        <v>3.5</v>
      </c>
      <c r="AK128" s="85"/>
      <c r="AL128" s="85"/>
      <c r="AM128" s="85" t="s">
        <v>65</v>
      </c>
      <c r="AN128" s="85"/>
      <c r="AO128" s="85"/>
      <c r="AP128" s="85">
        <v>3.5</v>
      </c>
      <c r="AQ128" s="85"/>
      <c r="AR128" s="85"/>
    </row>
    <row r="129" spans="1:44" x14ac:dyDescent="0.3">
      <c r="A129" s="85" t="s">
        <v>66</v>
      </c>
      <c r="B129" s="85">
        <v>1.1233</v>
      </c>
      <c r="C129" s="85"/>
      <c r="D129" s="85"/>
      <c r="E129" s="85" t="s">
        <v>66</v>
      </c>
      <c r="F129" s="85">
        <v>1.3933</v>
      </c>
      <c r="G129" s="85"/>
      <c r="H129" s="85"/>
      <c r="I129" s="85" t="s">
        <v>66</v>
      </c>
      <c r="J129" s="85"/>
      <c r="K129" s="85"/>
      <c r="L129" s="85">
        <v>0.745</v>
      </c>
      <c r="M129" s="85"/>
      <c r="N129" s="85"/>
      <c r="O129" s="85" t="s">
        <v>66</v>
      </c>
      <c r="P129" s="85">
        <v>1.18</v>
      </c>
      <c r="Q129" s="85"/>
      <c r="R129" s="85"/>
      <c r="S129" s="85" t="s">
        <v>66</v>
      </c>
      <c r="T129" s="85"/>
      <c r="U129" s="85"/>
      <c r="V129" s="85">
        <v>3.5217000000000001</v>
      </c>
      <c r="W129" s="85"/>
      <c r="X129" s="85"/>
      <c r="Y129" s="85" t="s">
        <v>66</v>
      </c>
      <c r="Z129" s="85">
        <v>5.6067</v>
      </c>
      <c r="AA129" s="85"/>
      <c r="AB129" s="85"/>
      <c r="AC129" s="85" t="s">
        <v>66</v>
      </c>
      <c r="AD129" s="85"/>
      <c r="AE129" s="85"/>
      <c r="AF129" s="85">
        <v>0.56499999999999995</v>
      </c>
      <c r="AG129" s="85"/>
      <c r="AH129" s="85"/>
      <c r="AI129" s="85" t="s">
        <v>66</v>
      </c>
      <c r="AJ129" s="85">
        <v>3.49</v>
      </c>
      <c r="AK129" s="85"/>
      <c r="AL129" s="85"/>
      <c r="AM129" s="85" t="s">
        <v>66</v>
      </c>
      <c r="AN129" s="85"/>
      <c r="AO129" s="85"/>
      <c r="AP129" s="85">
        <v>5.085</v>
      </c>
      <c r="AQ129" s="85"/>
      <c r="AR129" s="85"/>
    </row>
    <row r="130" spans="1:44" x14ac:dyDescent="0.3">
      <c r="A130" s="85" t="s">
        <v>67</v>
      </c>
      <c r="B130" s="85">
        <v>0.90649999999999997</v>
      </c>
      <c r="C130" s="85"/>
      <c r="D130" s="85"/>
      <c r="E130" s="85" t="s">
        <v>67</v>
      </c>
      <c r="F130" s="85">
        <v>0.86470000000000002</v>
      </c>
      <c r="G130" s="85"/>
      <c r="H130" s="85"/>
      <c r="I130" s="85" t="s">
        <v>67</v>
      </c>
      <c r="J130" s="85"/>
      <c r="K130" s="85"/>
      <c r="L130" s="85">
        <v>0.78400000000000003</v>
      </c>
      <c r="M130" s="85"/>
      <c r="N130" s="85"/>
      <c r="O130" s="85" t="s">
        <v>67</v>
      </c>
      <c r="P130" s="85">
        <v>0.1706</v>
      </c>
      <c r="Q130" s="85"/>
      <c r="R130" s="85"/>
      <c r="S130" s="85" t="s">
        <v>67</v>
      </c>
      <c r="T130" s="85"/>
      <c r="U130" s="85"/>
      <c r="V130" s="85">
        <v>0.66269999999999996</v>
      </c>
      <c r="W130" s="85"/>
      <c r="X130" s="85"/>
      <c r="Y130" s="85" t="s">
        <v>67</v>
      </c>
      <c r="Z130" s="85">
        <v>0.80269999999999997</v>
      </c>
      <c r="AA130" s="85"/>
      <c r="AB130" s="85"/>
      <c r="AC130" s="85" t="s">
        <v>67</v>
      </c>
      <c r="AD130" s="85"/>
      <c r="AE130" s="85"/>
      <c r="AF130" s="85">
        <v>3.8999999999999998E-3</v>
      </c>
      <c r="AG130" s="85"/>
      <c r="AH130" s="85"/>
      <c r="AI130" s="85" t="s">
        <v>67</v>
      </c>
      <c r="AJ130" s="85">
        <v>0.79490000000000005</v>
      </c>
      <c r="AK130" s="85"/>
      <c r="AL130" s="85"/>
      <c r="AM130" s="85" t="s">
        <v>67</v>
      </c>
      <c r="AN130" s="85"/>
      <c r="AO130" s="85"/>
      <c r="AP130" s="85">
        <v>0.62770000000000004</v>
      </c>
      <c r="AQ130" s="85"/>
      <c r="AR130" s="85"/>
    </row>
    <row r="131" spans="1:44" x14ac:dyDescent="0.3">
      <c r="A131" s="85" t="s">
        <v>68</v>
      </c>
      <c r="B131" s="85">
        <v>0.8831</v>
      </c>
      <c r="C131" s="85"/>
      <c r="D131" s="85"/>
      <c r="E131" s="85" t="s">
        <v>68</v>
      </c>
      <c r="F131" s="85">
        <v>0.83089999999999997</v>
      </c>
      <c r="G131" s="85"/>
      <c r="H131" s="85"/>
      <c r="I131" s="85" t="s">
        <v>68</v>
      </c>
      <c r="J131" s="85"/>
      <c r="K131" s="85"/>
      <c r="L131" s="85">
        <v>0.73</v>
      </c>
      <c r="M131" s="85"/>
      <c r="N131" s="85"/>
      <c r="O131" s="85" t="s">
        <v>68</v>
      </c>
      <c r="P131" s="85">
        <v>-3.6799999999999999E-2</v>
      </c>
      <c r="Q131" s="85"/>
      <c r="R131" s="85"/>
      <c r="S131" s="85" t="s">
        <v>68</v>
      </c>
      <c r="T131" s="85"/>
      <c r="U131" s="85"/>
      <c r="V131" s="85">
        <v>0.57840000000000003</v>
      </c>
      <c r="W131" s="85"/>
      <c r="X131" s="85"/>
      <c r="Y131" s="85" t="s">
        <v>68</v>
      </c>
      <c r="Z131" s="85">
        <v>0.75339999999999996</v>
      </c>
      <c r="AA131" s="85"/>
      <c r="AB131" s="85"/>
      <c r="AC131" s="85" t="s">
        <v>68</v>
      </c>
      <c r="AD131" s="85"/>
      <c r="AE131" s="85"/>
      <c r="AF131" s="85">
        <v>-0.24510000000000001</v>
      </c>
      <c r="AG131" s="85"/>
      <c r="AH131" s="85"/>
      <c r="AI131" s="85" t="s">
        <v>68</v>
      </c>
      <c r="AJ131" s="85">
        <v>0.74370000000000003</v>
      </c>
      <c r="AK131" s="85"/>
      <c r="AL131" s="85"/>
      <c r="AM131" s="85" t="s">
        <v>68</v>
      </c>
      <c r="AN131" s="85"/>
      <c r="AO131" s="85"/>
      <c r="AP131" s="85">
        <v>0.53459999999999996</v>
      </c>
      <c r="AQ131" s="85"/>
      <c r="AR131" s="85"/>
    </row>
    <row r="132" spans="1:44" x14ac:dyDescent="0.3">
      <c r="A132" s="85" t="s">
        <v>69</v>
      </c>
      <c r="B132" s="85">
        <v>0.95209999999999995</v>
      </c>
      <c r="C132" s="85"/>
      <c r="D132" s="85"/>
      <c r="E132" s="85" t="s">
        <v>69</v>
      </c>
      <c r="F132" s="85">
        <v>0.92989999999999995</v>
      </c>
      <c r="G132" s="85"/>
      <c r="H132" s="85"/>
      <c r="I132" s="85" t="s">
        <v>69</v>
      </c>
      <c r="J132" s="85"/>
      <c r="K132" s="85"/>
      <c r="L132" s="85">
        <v>0.88539999999999996</v>
      </c>
      <c r="M132" s="85"/>
      <c r="N132" s="85"/>
      <c r="O132" s="85" t="s">
        <v>69</v>
      </c>
      <c r="P132" s="85">
        <v>0.41299999999999998</v>
      </c>
      <c r="Q132" s="85"/>
      <c r="R132" s="85"/>
      <c r="S132" s="85" t="s">
        <v>69</v>
      </c>
      <c r="T132" s="85"/>
      <c r="U132" s="85"/>
      <c r="V132" s="85">
        <v>0.81410000000000005</v>
      </c>
      <c r="W132" s="85"/>
      <c r="X132" s="85"/>
      <c r="Y132" s="85" t="s">
        <v>69</v>
      </c>
      <c r="Z132" s="85">
        <v>0.89600000000000002</v>
      </c>
      <c r="AA132" s="85"/>
      <c r="AB132" s="85"/>
      <c r="AC132" s="85" t="s">
        <v>69</v>
      </c>
      <c r="AD132" s="85"/>
      <c r="AE132" s="85"/>
      <c r="AF132" s="85">
        <v>6.2799999999999995E-2</v>
      </c>
      <c r="AG132" s="85"/>
      <c r="AH132" s="85"/>
      <c r="AI132" s="85" t="s">
        <v>69</v>
      </c>
      <c r="AJ132" s="85">
        <v>0.89159999999999995</v>
      </c>
      <c r="AK132" s="85"/>
      <c r="AL132" s="85"/>
      <c r="AM132" s="85" t="s">
        <v>69</v>
      </c>
      <c r="AN132" s="85"/>
      <c r="AO132" s="85"/>
      <c r="AP132" s="85">
        <v>0.79220000000000002</v>
      </c>
      <c r="AQ132" s="85"/>
      <c r="AR132" s="85"/>
    </row>
    <row r="133" spans="1:44" x14ac:dyDescent="0.3">
      <c r="A133" s="85" t="s">
        <v>70</v>
      </c>
      <c r="B133" s="85">
        <v>0.70730000000000004</v>
      </c>
      <c r="C133" s="85" t="s">
        <v>211</v>
      </c>
      <c r="D133" s="85" t="s">
        <v>212</v>
      </c>
      <c r="E133" s="85" t="s">
        <v>70</v>
      </c>
      <c r="F133" s="85">
        <v>1.0652999999999999</v>
      </c>
      <c r="G133" s="85" t="s">
        <v>213</v>
      </c>
      <c r="H133" s="85" t="s">
        <v>78</v>
      </c>
      <c r="I133" s="85" t="s">
        <v>70</v>
      </c>
      <c r="J133" s="85"/>
      <c r="K133" s="85"/>
      <c r="L133" s="85">
        <v>0.14199999999999999</v>
      </c>
      <c r="M133" s="85" t="s">
        <v>214</v>
      </c>
      <c r="N133" s="85" t="s">
        <v>215</v>
      </c>
      <c r="O133" s="85" t="s">
        <v>70</v>
      </c>
      <c r="P133" s="85">
        <v>1.3979999999999999</v>
      </c>
      <c r="Q133" s="85" t="s">
        <v>216</v>
      </c>
      <c r="R133" s="85" t="s">
        <v>217</v>
      </c>
      <c r="S133" s="85" t="s">
        <v>70</v>
      </c>
      <c r="T133" s="85"/>
      <c r="U133" s="85"/>
      <c r="V133" s="85">
        <v>2.9826999999999999</v>
      </c>
      <c r="W133" s="85" t="s">
        <v>218</v>
      </c>
      <c r="X133" s="85" t="s">
        <v>78</v>
      </c>
      <c r="Y133" s="85" t="s">
        <v>70</v>
      </c>
      <c r="Z133" s="85">
        <v>5.3867000000000003</v>
      </c>
      <c r="AA133" s="85" t="s">
        <v>219</v>
      </c>
      <c r="AB133" s="85" t="s">
        <v>78</v>
      </c>
      <c r="AC133" s="85" t="s">
        <v>70</v>
      </c>
      <c r="AD133" s="85"/>
      <c r="AE133" s="85"/>
      <c r="AF133" s="85">
        <v>0.502</v>
      </c>
      <c r="AG133" s="85" t="s">
        <v>220</v>
      </c>
      <c r="AH133" s="85" t="s">
        <v>221</v>
      </c>
      <c r="AI133" s="85" t="s">
        <v>70</v>
      </c>
      <c r="AJ133" s="85">
        <v>2.8860000000000001</v>
      </c>
      <c r="AK133" s="85" t="s">
        <v>222</v>
      </c>
      <c r="AL133" s="85" t="s">
        <v>78</v>
      </c>
      <c r="AM133" s="85" t="s">
        <v>70</v>
      </c>
      <c r="AN133" s="85"/>
      <c r="AO133" s="85"/>
      <c r="AP133" s="85">
        <v>4.5439999999999996</v>
      </c>
      <c r="AQ133" s="85" t="s">
        <v>223</v>
      </c>
      <c r="AR133" s="85" t="s">
        <v>78</v>
      </c>
    </row>
    <row r="134" spans="1:44" x14ac:dyDescent="0.3">
      <c r="A134" s="85" t="s">
        <v>86</v>
      </c>
      <c r="B134" s="85">
        <v>0.11890000000000001</v>
      </c>
      <c r="C134" s="85" t="s">
        <v>224</v>
      </c>
      <c r="D134" s="85" t="s">
        <v>225</v>
      </c>
      <c r="E134" s="85" t="s">
        <v>86</v>
      </c>
      <c r="F134" s="85">
        <v>9.3700000000000006E-2</v>
      </c>
      <c r="G134" s="85" t="s">
        <v>226</v>
      </c>
      <c r="H134" s="85" t="s">
        <v>227</v>
      </c>
      <c r="I134" s="85" t="s">
        <v>86</v>
      </c>
      <c r="J134" s="85"/>
      <c r="K134" s="85"/>
      <c r="L134" s="85">
        <v>0.17230000000000001</v>
      </c>
      <c r="M134" s="85" t="s">
        <v>228</v>
      </c>
      <c r="N134" s="85" t="s">
        <v>229</v>
      </c>
      <c r="O134" s="85" t="s">
        <v>86</v>
      </c>
      <c r="P134" s="85">
        <v>-6.2300000000000001E-2</v>
      </c>
      <c r="Q134" s="85" t="s">
        <v>230</v>
      </c>
      <c r="R134" s="85" t="s">
        <v>231</v>
      </c>
      <c r="S134" s="85" t="s">
        <v>86</v>
      </c>
      <c r="T134" s="85"/>
      <c r="U134" s="85"/>
      <c r="V134" s="85">
        <v>0.154</v>
      </c>
      <c r="W134" s="85" t="s">
        <v>232</v>
      </c>
      <c r="X134" s="85" t="s">
        <v>233</v>
      </c>
      <c r="Y134" s="85" t="s">
        <v>86</v>
      </c>
      <c r="Z134" s="85">
        <v>6.2899999999999998E-2</v>
      </c>
      <c r="AA134" s="85" t="s">
        <v>234</v>
      </c>
      <c r="AB134" s="85" t="s">
        <v>235</v>
      </c>
      <c r="AC134" s="85" t="s">
        <v>86</v>
      </c>
      <c r="AD134" s="85"/>
      <c r="AE134" s="85"/>
      <c r="AF134" s="85">
        <v>1.7999999999999999E-2</v>
      </c>
      <c r="AG134" s="85" t="s">
        <v>236</v>
      </c>
      <c r="AH134" s="85" t="s">
        <v>237</v>
      </c>
      <c r="AI134" s="85" t="s">
        <v>86</v>
      </c>
      <c r="AJ134" s="85">
        <v>0.1726</v>
      </c>
      <c r="AK134" s="85" t="s">
        <v>238</v>
      </c>
      <c r="AL134" s="85" t="s">
        <v>239</v>
      </c>
      <c r="AM134" s="85" t="s">
        <v>86</v>
      </c>
      <c r="AN134" s="85"/>
      <c r="AO134" s="85"/>
      <c r="AP134" s="85">
        <v>0.15459999999999999</v>
      </c>
      <c r="AQ134" s="85" t="s">
        <v>240</v>
      </c>
      <c r="AR134" s="85" t="s">
        <v>210</v>
      </c>
    </row>
    <row r="135" spans="1:44" x14ac:dyDescent="0.3">
      <c r="A135" s="85" t="s">
        <v>103</v>
      </c>
      <c r="B135" s="85" t="s">
        <v>241</v>
      </c>
      <c r="C135" s="85"/>
      <c r="D135" s="85"/>
      <c r="E135" s="85" t="s">
        <v>103</v>
      </c>
      <c r="F135" s="85" t="s">
        <v>242</v>
      </c>
      <c r="G135" s="85"/>
      <c r="H135" s="85"/>
      <c r="I135" s="85" t="s">
        <v>103</v>
      </c>
      <c r="J135" s="85"/>
      <c r="K135" s="85"/>
      <c r="L135" s="85" t="s">
        <v>243</v>
      </c>
      <c r="M135" s="85"/>
      <c r="N135" s="85"/>
      <c r="O135" s="85" t="s">
        <v>103</v>
      </c>
      <c r="P135" s="85" t="s">
        <v>244</v>
      </c>
      <c r="Q135" s="85"/>
      <c r="R135" s="85"/>
      <c r="S135" s="85" t="s">
        <v>103</v>
      </c>
      <c r="T135" s="85"/>
      <c r="U135" s="85"/>
      <c r="V135" s="85" t="s">
        <v>245</v>
      </c>
      <c r="W135" s="85"/>
      <c r="X135" s="85"/>
      <c r="Y135" s="85" t="s">
        <v>103</v>
      </c>
      <c r="Z135" s="85" t="s">
        <v>246</v>
      </c>
      <c r="AA135" s="85"/>
      <c r="AB135" s="85"/>
      <c r="AC135" s="85" t="s">
        <v>103</v>
      </c>
      <c r="AD135" s="85"/>
      <c r="AE135" s="85"/>
      <c r="AF135" s="85" t="s">
        <v>247</v>
      </c>
      <c r="AG135" s="85"/>
      <c r="AH135" s="85"/>
      <c r="AI135" s="85" t="s">
        <v>103</v>
      </c>
      <c r="AJ135" s="85" t="s">
        <v>248</v>
      </c>
      <c r="AK135" s="85"/>
      <c r="AL135" s="85"/>
      <c r="AM135" s="85" t="s">
        <v>103</v>
      </c>
      <c r="AN135" s="85"/>
      <c r="AO135" s="85"/>
      <c r="AP135" s="85" t="s">
        <v>249</v>
      </c>
      <c r="AQ135" s="85"/>
      <c r="AR135" s="85"/>
    </row>
    <row r="136" spans="1:44" x14ac:dyDescent="0.3">
      <c r="A136" s="85" t="s">
        <v>113</v>
      </c>
      <c r="B136" s="85" t="s">
        <v>250</v>
      </c>
      <c r="C136" s="85"/>
      <c r="D136" s="85"/>
      <c r="E136" s="85" t="s">
        <v>113</v>
      </c>
      <c r="F136" s="85" t="s">
        <v>251</v>
      </c>
      <c r="G136" s="85"/>
      <c r="H136" s="85"/>
      <c r="I136" s="85" t="s">
        <v>113</v>
      </c>
      <c r="J136" s="85"/>
      <c r="K136" s="85"/>
      <c r="L136" s="85" t="s">
        <v>252</v>
      </c>
      <c r="M136" s="85"/>
      <c r="N136" s="85"/>
      <c r="O136" s="85" t="s">
        <v>113</v>
      </c>
      <c r="P136" s="85" t="s">
        <v>253</v>
      </c>
      <c r="Q136" s="85"/>
      <c r="R136" s="85"/>
      <c r="S136" s="85" t="s">
        <v>113</v>
      </c>
      <c r="T136" s="85"/>
      <c r="U136" s="85"/>
      <c r="V136" s="85" t="s">
        <v>254</v>
      </c>
      <c r="W136" s="85"/>
      <c r="X136" s="85"/>
      <c r="Y136" s="85" t="s">
        <v>113</v>
      </c>
      <c r="Z136" s="85" t="s">
        <v>255</v>
      </c>
      <c r="AA136" s="85"/>
      <c r="AB136" s="85"/>
      <c r="AC136" s="85" t="s">
        <v>113</v>
      </c>
      <c r="AD136" s="85"/>
      <c r="AE136" s="85"/>
      <c r="AF136" s="85" t="s">
        <v>256</v>
      </c>
      <c r="AG136" s="85"/>
      <c r="AH136" s="85"/>
      <c r="AI136" s="85" t="s">
        <v>113</v>
      </c>
      <c r="AJ136" s="85" t="s">
        <v>257</v>
      </c>
      <c r="AK136" s="85"/>
      <c r="AL136" s="85"/>
      <c r="AM136" s="85" t="s">
        <v>113</v>
      </c>
      <c r="AN136" s="85"/>
      <c r="AO136" s="85"/>
      <c r="AP136" s="85" t="s">
        <v>258</v>
      </c>
      <c r="AQ136" s="85"/>
      <c r="AR136" s="85"/>
    </row>
    <row r="137" spans="1:44" x14ac:dyDescent="0.3">
      <c r="A137" s="85" t="s">
        <v>123</v>
      </c>
      <c r="B137" s="85" t="s">
        <v>124</v>
      </c>
      <c r="C137" s="85"/>
      <c r="D137" s="85"/>
      <c r="E137" s="85" t="s">
        <v>123</v>
      </c>
      <c r="F137" s="85" t="s">
        <v>124</v>
      </c>
      <c r="G137" s="85"/>
      <c r="H137" s="85"/>
      <c r="I137" s="85" t="s">
        <v>123</v>
      </c>
      <c r="J137" s="85"/>
      <c r="K137" s="85"/>
      <c r="L137" s="85" t="s">
        <v>124</v>
      </c>
      <c r="M137" s="85"/>
      <c r="N137" s="85"/>
      <c r="O137" s="85" t="s">
        <v>123</v>
      </c>
      <c r="P137" s="85" t="s">
        <v>124</v>
      </c>
      <c r="Q137" s="85"/>
      <c r="R137" s="85"/>
      <c r="S137" s="85" t="s">
        <v>123</v>
      </c>
      <c r="T137" s="85"/>
      <c r="U137" s="85"/>
      <c r="V137" s="85" t="s">
        <v>124</v>
      </c>
      <c r="W137" s="85"/>
      <c r="X137" s="85"/>
      <c r="Y137" s="85" t="s">
        <v>123</v>
      </c>
      <c r="Z137" s="85" t="s">
        <v>124</v>
      </c>
      <c r="AA137" s="85"/>
      <c r="AB137" s="85"/>
      <c r="AC137" s="85" t="s">
        <v>123</v>
      </c>
      <c r="AD137" s="85"/>
      <c r="AE137" s="85"/>
      <c r="AF137" s="85" t="s">
        <v>124</v>
      </c>
      <c r="AG137" s="85"/>
      <c r="AH137" s="85"/>
      <c r="AI137" s="85" t="s">
        <v>123</v>
      </c>
      <c r="AJ137" s="85" t="s">
        <v>124</v>
      </c>
      <c r="AK137" s="85"/>
      <c r="AL137" s="85"/>
      <c r="AM137" s="85" t="s">
        <v>123</v>
      </c>
      <c r="AN137" s="85"/>
      <c r="AO137" s="85"/>
      <c r="AP137" s="85" t="s">
        <v>124</v>
      </c>
      <c r="AQ137" s="85"/>
      <c r="AR137" s="85"/>
    </row>
    <row r="153" spans="1:44" x14ac:dyDescent="0.3">
      <c r="A153" s="92" t="s">
        <v>259</v>
      </c>
      <c r="B153" s="92"/>
      <c r="C153" s="92"/>
      <c r="D153" s="92"/>
      <c r="E153" s="92" t="s">
        <v>260</v>
      </c>
      <c r="F153" s="92"/>
      <c r="G153" s="92"/>
      <c r="H153" s="92"/>
      <c r="I153" s="92" t="s">
        <v>261</v>
      </c>
      <c r="J153" s="92"/>
      <c r="K153" s="92"/>
      <c r="L153" s="92"/>
      <c r="M153" s="92"/>
      <c r="N153" s="92"/>
      <c r="O153" s="92" t="s">
        <v>262</v>
      </c>
      <c r="P153" s="92"/>
      <c r="Q153" s="92"/>
      <c r="R153" s="92"/>
      <c r="S153" s="92" t="s">
        <v>263</v>
      </c>
      <c r="T153" s="92"/>
      <c r="U153" s="92"/>
      <c r="V153" s="92"/>
      <c r="W153" s="92"/>
      <c r="X153" s="92"/>
      <c r="Y153" s="92" t="s">
        <v>264</v>
      </c>
      <c r="Z153" s="92"/>
      <c r="AA153" s="92"/>
      <c r="AB153" s="92"/>
      <c r="AC153" s="92" t="s">
        <v>265</v>
      </c>
      <c r="AD153" s="92"/>
      <c r="AE153" s="92"/>
      <c r="AF153" s="92"/>
      <c r="AG153" s="92"/>
      <c r="AH153" s="92"/>
      <c r="AI153" s="92" t="s">
        <v>266</v>
      </c>
      <c r="AJ153" s="92"/>
      <c r="AK153" s="92"/>
      <c r="AL153" s="92"/>
      <c r="AM153" s="92" t="s">
        <v>267</v>
      </c>
      <c r="AN153" s="92"/>
      <c r="AO153" s="92"/>
      <c r="AP153" s="92"/>
      <c r="AQ153" s="92"/>
      <c r="AR153" s="92"/>
    </row>
    <row r="154" spans="1:44" x14ac:dyDescent="0.3">
      <c r="A154" s="93" t="s">
        <v>41</v>
      </c>
      <c r="B154" s="93" t="s">
        <v>42</v>
      </c>
      <c r="C154" s="93" t="s">
        <v>43</v>
      </c>
      <c r="D154" s="93" t="s">
        <v>44</v>
      </c>
      <c r="E154" s="93" t="s">
        <v>41</v>
      </c>
      <c r="F154" s="93" t="s">
        <v>42</v>
      </c>
      <c r="G154" s="93" t="s">
        <v>43</v>
      </c>
      <c r="H154" s="93" t="s">
        <v>44</v>
      </c>
      <c r="I154" s="93" t="s">
        <v>41</v>
      </c>
      <c r="J154" s="93"/>
      <c r="K154" s="93"/>
      <c r="L154" s="93" t="s">
        <v>42</v>
      </c>
      <c r="M154" s="93" t="s">
        <v>43</v>
      </c>
      <c r="N154" s="93" t="s">
        <v>44</v>
      </c>
      <c r="O154" s="93" t="s">
        <v>41</v>
      </c>
      <c r="P154" s="93" t="s">
        <v>42</v>
      </c>
      <c r="Q154" s="93" t="s">
        <v>43</v>
      </c>
      <c r="R154" s="93" t="s">
        <v>44</v>
      </c>
      <c r="S154" s="93" t="s">
        <v>41</v>
      </c>
      <c r="T154" s="93"/>
      <c r="U154" s="93"/>
      <c r="V154" s="93" t="s">
        <v>42</v>
      </c>
      <c r="W154" s="93" t="s">
        <v>43</v>
      </c>
      <c r="X154" s="93" t="s">
        <v>44</v>
      </c>
      <c r="Y154" s="93" t="s">
        <v>41</v>
      </c>
      <c r="Z154" s="93" t="s">
        <v>42</v>
      </c>
      <c r="AA154" s="93" t="s">
        <v>43</v>
      </c>
      <c r="AB154" s="93" t="s">
        <v>44</v>
      </c>
      <c r="AC154" s="93" t="s">
        <v>41</v>
      </c>
      <c r="AD154" s="93"/>
      <c r="AE154" s="93"/>
      <c r="AF154" s="93" t="s">
        <v>42</v>
      </c>
      <c r="AG154" s="93" t="s">
        <v>43</v>
      </c>
      <c r="AH154" s="93" t="s">
        <v>44</v>
      </c>
      <c r="AI154" s="93" t="s">
        <v>41</v>
      </c>
      <c r="AJ154" s="93" t="s">
        <v>42</v>
      </c>
      <c r="AK154" s="93" t="s">
        <v>43</v>
      </c>
      <c r="AL154" s="93" t="s">
        <v>44</v>
      </c>
      <c r="AM154" s="93" t="s">
        <v>41</v>
      </c>
      <c r="AN154" s="93"/>
      <c r="AO154" s="93"/>
      <c r="AP154" s="93" t="s">
        <v>42</v>
      </c>
      <c r="AQ154" s="93" t="s">
        <v>43</v>
      </c>
      <c r="AR154" s="93" t="s">
        <v>44</v>
      </c>
    </row>
    <row r="155" spans="1:44" x14ac:dyDescent="0.3">
      <c r="A155" s="93" t="s">
        <v>45</v>
      </c>
      <c r="B155" s="93">
        <v>1</v>
      </c>
      <c r="C155" s="93">
        <v>0.14360000000000001</v>
      </c>
      <c r="D155" s="93">
        <v>0.14360000000000001</v>
      </c>
      <c r="E155" s="93" t="s">
        <v>45</v>
      </c>
      <c r="F155" s="93">
        <v>1</v>
      </c>
      <c r="G155" s="93">
        <v>0.1565</v>
      </c>
      <c r="H155" s="93">
        <v>0.1565</v>
      </c>
      <c r="I155" s="93" t="s">
        <v>45</v>
      </c>
      <c r="J155" s="93"/>
      <c r="K155" s="93"/>
      <c r="L155" s="93">
        <v>1</v>
      </c>
      <c r="M155" s="93">
        <v>0.1128</v>
      </c>
      <c r="N155" s="93">
        <v>0.1128</v>
      </c>
      <c r="O155" s="93" t="s">
        <v>45</v>
      </c>
      <c r="P155" s="93">
        <v>1</v>
      </c>
      <c r="Q155" s="93">
        <v>1.03E-2</v>
      </c>
      <c r="R155" s="93">
        <v>1.03E-2</v>
      </c>
      <c r="S155" s="93" t="s">
        <v>45</v>
      </c>
      <c r="T155" s="93"/>
      <c r="U155" s="93"/>
      <c r="V155" s="93">
        <v>1</v>
      </c>
      <c r="W155" s="93">
        <v>4.0300000000000002E-2</v>
      </c>
      <c r="X155" s="93">
        <v>4.0300000000000002E-2</v>
      </c>
      <c r="Y155" s="93" t="s">
        <v>45</v>
      </c>
      <c r="Z155" s="93">
        <v>1</v>
      </c>
      <c r="AA155" s="93">
        <v>7.7600000000000002E-2</v>
      </c>
      <c r="AB155" s="93">
        <v>7.7600000000000002E-2</v>
      </c>
      <c r="AC155" s="93" t="s">
        <v>45</v>
      </c>
      <c r="AD155" s="93"/>
      <c r="AE155" s="93"/>
      <c r="AF155" s="93">
        <v>1</v>
      </c>
      <c r="AG155" s="93">
        <v>1E-4</v>
      </c>
      <c r="AH155" s="93">
        <v>1E-4</v>
      </c>
      <c r="AI155" s="93" t="s">
        <v>45</v>
      </c>
      <c r="AJ155" s="93">
        <v>1</v>
      </c>
      <c r="AK155" s="93">
        <v>8.2299999999999998E-2</v>
      </c>
      <c r="AL155" s="93">
        <v>8.2299999999999998E-2</v>
      </c>
      <c r="AM155" s="93" t="s">
        <v>45</v>
      </c>
      <c r="AN155" s="93"/>
      <c r="AO155" s="93"/>
      <c r="AP155" s="94">
        <v>1</v>
      </c>
      <c r="AQ155" s="94">
        <v>2.8400000000000002E-2</v>
      </c>
      <c r="AR155" s="94">
        <v>2.8400000000000002E-2</v>
      </c>
    </row>
    <row r="156" spans="1:44" x14ac:dyDescent="0.3">
      <c r="A156" s="93" t="s">
        <v>46</v>
      </c>
      <c r="B156" s="93">
        <v>4</v>
      </c>
      <c r="C156" s="93">
        <v>8.5999999999999993E-2</v>
      </c>
      <c r="D156" s="93">
        <v>2.1499999999999998E-2</v>
      </c>
      <c r="E156" s="93" t="s">
        <v>46</v>
      </c>
      <c r="F156" s="93">
        <v>4</v>
      </c>
      <c r="G156" s="93">
        <v>0.10580000000000001</v>
      </c>
      <c r="H156" s="93">
        <v>2.64E-2</v>
      </c>
      <c r="I156" s="93" t="s">
        <v>46</v>
      </c>
      <c r="J156" s="93"/>
      <c r="K156" s="93"/>
      <c r="L156" s="93">
        <v>4</v>
      </c>
      <c r="M156" s="93">
        <v>7.8700000000000006E-2</v>
      </c>
      <c r="N156" s="93">
        <v>1.9699999999999999E-2</v>
      </c>
      <c r="O156" s="93" t="s">
        <v>46</v>
      </c>
      <c r="P156" s="93">
        <v>4</v>
      </c>
      <c r="Q156" s="93">
        <v>0.1792</v>
      </c>
      <c r="R156" s="93">
        <v>4.48E-2</v>
      </c>
      <c r="S156" s="93" t="s">
        <v>46</v>
      </c>
      <c r="T156" s="93"/>
      <c r="U156" s="93"/>
      <c r="V156" s="93">
        <v>4</v>
      </c>
      <c r="W156" s="93">
        <v>0.24940000000000001</v>
      </c>
      <c r="X156" s="93">
        <v>6.2399999999999997E-2</v>
      </c>
      <c r="Y156" s="93" t="s">
        <v>46</v>
      </c>
      <c r="Z156" s="93">
        <v>4</v>
      </c>
      <c r="AA156" s="93">
        <v>0.1749</v>
      </c>
      <c r="AB156" s="93">
        <v>4.3700000000000003E-2</v>
      </c>
      <c r="AC156" s="93" t="s">
        <v>46</v>
      </c>
      <c r="AD156" s="93"/>
      <c r="AE156" s="93"/>
      <c r="AF156" s="93">
        <v>4</v>
      </c>
      <c r="AG156" s="93">
        <v>0.39800000000000002</v>
      </c>
      <c r="AH156" s="93">
        <v>9.9500000000000005E-2</v>
      </c>
      <c r="AI156" s="93" t="s">
        <v>46</v>
      </c>
      <c r="AJ156" s="93">
        <v>4</v>
      </c>
      <c r="AK156" s="93">
        <v>6.0100000000000001E-2</v>
      </c>
      <c r="AL156" s="93">
        <v>1.4999999999999999E-2</v>
      </c>
      <c r="AM156" s="93" t="s">
        <v>46</v>
      </c>
      <c r="AN156" s="93"/>
      <c r="AO156" s="93"/>
      <c r="AP156" s="94">
        <v>4</v>
      </c>
      <c r="AQ156" s="94">
        <v>0.1169</v>
      </c>
      <c r="AR156" s="94">
        <v>2.92E-2</v>
      </c>
    </row>
    <row r="157" spans="1:44" x14ac:dyDescent="0.3">
      <c r="A157" s="93" t="s">
        <v>47</v>
      </c>
      <c r="B157" s="93">
        <v>5</v>
      </c>
      <c r="C157" s="93">
        <v>0.2296</v>
      </c>
      <c r="D157" s="93" t="s">
        <v>48</v>
      </c>
      <c r="E157" s="93" t="s">
        <v>47</v>
      </c>
      <c r="F157" s="93">
        <v>5</v>
      </c>
      <c r="G157" s="93">
        <v>0.26229999999999998</v>
      </c>
      <c r="H157" s="93" t="s">
        <v>48</v>
      </c>
      <c r="I157" s="93" t="s">
        <v>47</v>
      </c>
      <c r="J157" s="93"/>
      <c r="K157" s="93"/>
      <c r="L157" s="93">
        <v>5</v>
      </c>
      <c r="M157" s="93">
        <v>0.1915</v>
      </c>
      <c r="N157" s="93" t="s">
        <v>48</v>
      </c>
      <c r="O157" s="93" t="s">
        <v>47</v>
      </c>
      <c r="P157" s="93">
        <v>5</v>
      </c>
      <c r="Q157" s="93">
        <v>0.1895</v>
      </c>
      <c r="R157" s="93" t="s">
        <v>48</v>
      </c>
      <c r="S157" s="93" t="s">
        <v>47</v>
      </c>
      <c r="T157" s="93"/>
      <c r="U157" s="93"/>
      <c r="V157" s="93">
        <v>5</v>
      </c>
      <c r="W157" s="93">
        <v>0.28970000000000001</v>
      </c>
      <c r="X157" s="93" t="s">
        <v>48</v>
      </c>
      <c r="Y157" s="93" t="s">
        <v>47</v>
      </c>
      <c r="Z157" s="93">
        <v>5</v>
      </c>
      <c r="AA157" s="93">
        <v>0.2525</v>
      </c>
      <c r="AB157" s="93" t="s">
        <v>48</v>
      </c>
      <c r="AC157" s="93" t="s">
        <v>47</v>
      </c>
      <c r="AD157" s="93"/>
      <c r="AE157" s="93"/>
      <c r="AF157" s="93">
        <v>5</v>
      </c>
      <c r="AG157" s="93">
        <v>0.39810000000000001</v>
      </c>
      <c r="AH157" s="93" t="s">
        <v>48</v>
      </c>
      <c r="AI157" s="93" t="s">
        <v>47</v>
      </c>
      <c r="AJ157" s="93">
        <v>5</v>
      </c>
      <c r="AK157" s="93">
        <v>0.1424</v>
      </c>
      <c r="AL157" s="93" t="s">
        <v>48</v>
      </c>
      <c r="AM157" s="93" t="s">
        <v>47</v>
      </c>
      <c r="AN157" s="93"/>
      <c r="AO157" s="93"/>
      <c r="AP157" s="94">
        <v>5</v>
      </c>
      <c r="AQ157" s="94">
        <v>0.14530000000000001</v>
      </c>
      <c r="AR157" s="94" t="s">
        <v>48</v>
      </c>
    </row>
    <row r="158" spans="1:44" x14ac:dyDescent="0.3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4"/>
      <c r="AQ158" s="94"/>
      <c r="AR158" s="94"/>
    </row>
    <row r="159" spans="1:44" x14ac:dyDescent="0.3">
      <c r="A159" s="93" t="s">
        <v>49</v>
      </c>
      <c r="B159" s="93">
        <v>6.6775000000000002</v>
      </c>
      <c r="C159" s="93" t="s">
        <v>268</v>
      </c>
      <c r="D159" s="93"/>
      <c r="E159" s="93" t="s">
        <v>49</v>
      </c>
      <c r="F159" s="93">
        <v>5.9192</v>
      </c>
      <c r="G159" s="93" t="s">
        <v>269</v>
      </c>
      <c r="H159" s="93"/>
      <c r="I159" s="93" t="s">
        <v>49</v>
      </c>
      <c r="J159" s="93"/>
      <c r="K159" s="93"/>
      <c r="L159" s="93">
        <v>5.7346000000000004</v>
      </c>
      <c r="M159" s="93" t="s">
        <v>270</v>
      </c>
      <c r="N159" s="93"/>
      <c r="O159" s="93" t="s">
        <v>49</v>
      </c>
      <c r="P159" s="93">
        <v>0.23039999999999999</v>
      </c>
      <c r="Q159" s="93" t="s">
        <v>271</v>
      </c>
      <c r="R159" s="93"/>
      <c r="S159" s="93" t="s">
        <v>49</v>
      </c>
      <c r="T159" s="93"/>
      <c r="U159" s="93"/>
      <c r="V159" s="93">
        <v>0.64659999999999995</v>
      </c>
      <c r="W159" s="93" t="s">
        <v>272</v>
      </c>
      <c r="X159" s="93"/>
      <c r="Y159" s="93" t="s">
        <v>49</v>
      </c>
      <c r="Z159" s="93">
        <v>1.7734000000000001</v>
      </c>
      <c r="AA159" s="93" t="s">
        <v>273</v>
      </c>
      <c r="AB159" s="93"/>
      <c r="AC159" s="93" t="s">
        <v>49</v>
      </c>
      <c r="AD159" s="93"/>
      <c r="AE159" s="93"/>
      <c r="AF159" s="93">
        <v>8.9999999999999998E-4</v>
      </c>
      <c r="AG159" s="93" t="s">
        <v>274</v>
      </c>
      <c r="AH159" s="93"/>
      <c r="AI159" s="93" t="s">
        <v>49</v>
      </c>
      <c r="AJ159" s="93">
        <v>5.4752999999999998</v>
      </c>
      <c r="AK159" s="93" t="s">
        <v>275</v>
      </c>
      <c r="AL159" s="93"/>
      <c r="AM159" s="93" t="s">
        <v>49</v>
      </c>
      <c r="AN159" s="93"/>
      <c r="AO159" s="93"/>
      <c r="AP159" s="94">
        <v>0.97199999999999998</v>
      </c>
      <c r="AQ159" s="94" t="s">
        <v>276</v>
      </c>
      <c r="AR159" s="94"/>
    </row>
    <row r="160" spans="1:44" x14ac:dyDescent="0.3">
      <c r="A160" s="93" t="s">
        <v>59</v>
      </c>
      <c r="B160" s="93" t="s">
        <v>61</v>
      </c>
      <c r="C160" s="93"/>
      <c r="D160" s="93"/>
      <c r="E160" s="93" t="s">
        <v>59</v>
      </c>
      <c r="F160" s="93" t="s">
        <v>61</v>
      </c>
      <c r="G160" s="93"/>
      <c r="H160" s="93"/>
      <c r="I160" s="93" t="s">
        <v>59</v>
      </c>
      <c r="J160" s="93"/>
      <c r="K160" s="93"/>
      <c r="L160" s="93" t="s">
        <v>61</v>
      </c>
      <c r="M160" s="93"/>
      <c r="N160" s="93"/>
      <c r="O160" s="93" t="s">
        <v>59</v>
      </c>
      <c r="P160" s="93" t="s">
        <v>61</v>
      </c>
      <c r="Q160" s="93"/>
      <c r="R160" s="93"/>
      <c r="S160" s="93" t="s">
        <v>59</v>
      </c>
      <c r="T160" s="93"/>
      <c r="U160" s="93"/>
      <c r="V160" s="93" t="s">
        <v>61</v>
      </c>
      <c r="W160" s="93"/>
      <c r="X160" s="93"/>
      <c r="Y160" s="93" t="s">
        <v>59</v>
      </c>
      <c r="Z160" s="93" t="s">
        <v>61</v>
      </c>
      <c r="AA160" s="93"/>
      <c r="AB160" s="93"/>
      <c r="AC160" s="93" t="s">
        <v>59</v>
      </c>
      <c r="AD160" s="93"/>
      <c r="AE160" s="93"/>
      <c r="AF160" s="93" t="s">
        <v>61</v>
      </c>
      <c r="AG160" s="93"/>
      <c r="AH160" s="93"/>
      <c r="AI160" s="93" t="s">
        <v>59</v>
      </c>
      <c r="AJ160" s="93" t="s">
        <v>61</v>
      </c>
      <c r="AK160" s="93"/>
      <c r="AL160" s="93"/>
      <c r="AM160" s="93" t="s">
        <v>59</v>
      </c>
      <c r="AN160" s="93"/>
      <c r="AO160" s="93"/>
      <c r="AP160" s="94" t="s">
        <v>61</v>
      </c>
      <c r="AQ160" s="94"/>
      <c r="AR160" s="94"/>
    </row>
    <row r="161" spans="1:44" x14ac:dyDescent="0.3">
      <c r="A161" s="93" t="s">
        <v>62</v>
      </c>
      <c r="B161" s="93" t="s">
        <v>64</v>
      </c>
      <c r="C161" s="93"/>
      <c r="D161" s="93"/>
      <c r="E161" s="93" t="s">
        <v>62</v>
      </c>
      <c r="F161" s="93" t="s">
        <v>64</v>
      </c>
      <c r="G161" s="93"/>
      <c r="H161" s="93"/>
      <c r="I161" s="93" t="s">
        <v>62</v>
      </c>
      <c r="J161" s="93"/>
      <c r="K161" s="93"/>
      <c r="L161" s="93" t="s">
        <v>64</v>
      </c>
      <c r="M161" s="93"/>
      <c r="N161" s="93"/>
      <c r="O161" s="93" t="s">
        <v>62</v>
      </c>
      <c r="P161" s="93" t="s">
        <v>64</v>
      </c>
      <c r="Q161" s="93"/>
      <c r="R161" s="93"/>
      <c r="S161" s="93" t="s">
        <v>62</v>
      </c>
      <c r="T161" s="93"/>
      <c r="U161" s="93"/>
      <c r="V161" s="93" t="s">
        <v>64</v>
      </c>
      <c r="W161" s="93"/>
      <c r="X161" s="93"/>
      <c r="Y161" s="93" t="s">
        <v>62</v>
      </c>
      <c r="Z161" s="93" t="s">
        <v>64</v>
      </c>
      <c r="AA161" s="93"/>
      <c r="AB161" s="93"/>
      <c r="AC161" s="93" t="s">
        <v>62</v>
      </c>
      <c r="AD161" s="93"/>
      <c r="AE161" s="93"/>
      <c r="AF161" s="93" t="s">
        <v>64</v>
      </c>
      <c r="AG161" s="93"/>
      <c r="AH161" s="93"/>
      <c r="AI161" s="93" t="s">
        <v>62</v>
      </c>
      <c r="AJ161" s="93" t="s">
        <v>64</v>
      </c>
      <c r="AK161" s="93"/>
      <c r="AL161" s="93"/>
      <c r="AM161" s="93" t="s">
        <v>62</v>
      </c>
      <c r="AN161" s="93"/>
      <c r="AO161" s="93"/>
      <c r="AP161" s="94" t="s">
        <v>64</v>
      </c>
      <c r="AQ161" s="94"/>
      <c r="AR161" s="94"/>
    </row>
    <row r="162" spans="1:44" x14ac:dyDescent="0.3">
      <c r="A162" s="93" t="s">
        <v>65</v>
      </c>
      <c r="B162" s="93">
        <v>3.5</v>
      </c>
      <c r="C162" s="93"/>
      <c r="D162" s="93"/>
      <c r="E162" s="93" t="s">
        <v>65</v>
      </c>
      <c r="F162" s="93">
        <v>3.5</v>
      </c>
      <c r="G162" s="93"/>
      <c r="H162" s="93"/>
      <c r="I162" s="93" t="s">
        <v>65</v>
      </c>
      <c r="J162" s="93"/>
      <c r="K162" s="93"/>
      <c r="L162" s="93">
        <v>3.5</v>
      </c>
      <c r="M162" s="93"/>
      <c r="N162" s="93"/>
      <c r="O162" s="93" t="s">
        <v>65</v>
      </c>
      <c r="P162" s="93">
        <v>3.5</v>
      </c>
      <c r="Q162" s="93"/>
      <c r="R162" s="93"/>
      <c r="S162" s="93" t="s">
        <v>65</v>
      </c>
      <c r="T162" s="93"/>
      <c r="U162" s="93"/>
      <c r="V162" s="93">
        <v>3.5</v>
      </c>
      <c r="W162" s="93"/>
      <c r="X162" s="93"/>
      <c r="Y162" s="93" t="s">
        <v>65</v>
      </c>
      <c r="Z162" s="93">
        <v>3.5</v>
      </c>
      <c r="AA162" s="93"/>
      <c r="AB162" s="93"/>
      <c r="AC162" s="93" t="s">
        <v>65</v>
      </c>
      <c r="AD162" s="93"/>
      <c r="AE162" s="93"/>
      <c r="AF162" s="93">
        <v>3.5</v>
      </c>
      <c r="AG162" s="93"/>
      <c r="AH162" s="93"/>
      <c r="AI162" s="93" t="s">
        <v>65</v>
      </c>
      <c r="AJ162" s="93">
        <v>3.5</v>
      </c>
      <c r="AK162" s="93"/>
      <c r="AL162" s="93"/>
      <c r="AM162" s="93" t="s">
        <v>65</v>
      </c>
      <c r="AN162" s="93"/>
      <c r="AO162" s="93"/>
      <c r="AP162" s="94">
        <v>3.5</v>
      </c>
      <c r="AQ162" s="94"/>
      <c r="AR162" s="94"/>
    </row>
    <row r="163" spans="1:44" x14ac:dyDescent="0.3">
      <c r="A163" s="93" t="s">
        <v>66</v>
      </c>
      <c r="B163" s="93">
        <v>1.175</v>
      </c>
      <c r="C163" s="93"/>
      <c r="D163" s="93"/>
      <c r="E163" s="93" t="s">
        <v>66</v>
      </c>
      <c r="F163" s="93">
        <v>1.3916999999999999</v>
      </c>
      <c r="G163" s="93"/>
      <c r="H163" s="93"/>
      <c r="I163" s="93" t="s">
        <v>66</v>
      </c>
      <c r="J163" s="93"/>
      <c r="K163" s="93"/>
      <c r="L163" s="93">
        <v>0.89829999999999999</v>
      </c>
      <c r="M163" s="93"/>
      <c r="N163" s="93"/>
      <c r="O163" s="93" t="s">
        <v>66</v>
      </c>
      <c r="P163" s="93">
        <v>0.92830000000000001</v>
      </c>
      <c r="Q163" s="93"/>
      <c r="R163" s="93"/>
      <c r="S163" s="93" t="s">
        <v>66</v>
      </c>
      <c r="T163" s="93"/>
      <c r="U163" s="93"/>
      <c r="V163" s="93">
        <v>3.1667000000000001</v>
      </c>
      <c r="W163" s="93"/>
      <c r="X163" s="93"/>
      <c r="Y163" s="93" t="s">
        <v>66</v>
      </c>
      <c r="Z163" s="93">
        <v>5.4417</v>
      </c>
      <c r="AA163" s="93"/>
      <c r="AB163" s="93"/>
      <c r="AC163" s="93" t="s">
        <v>66</v>
      </c>
      <c r="AD163" s="93"/>
      <c r="AE163" s="93"/>
      <c r="AF163" s="93">
        <v>0.89670000000000005</v>
      </c>
      <c r="AG163" s="93"/>
      <c r="AH163" s="93"/>
      <c r="AI163" s="93" t="s">
        <v>66</v>
      </c>
      <c r="AJ163" s="93">
        <v>3.21</v>
      </c>
      <c r="AK163" s="93"/>
      <c r="AL163" s="93"/>
      <c r="AM163" s="93" t="s">
        <v>66</v>
      </c>
      <c r="AN163" s="93"/>
      <c r="AO163" s="93"/>
      <c r="AP163" s="94">
        <v>5.0782999999999996</v>
      </c>
      <c r="AQ163" s="94"/>
      <c r="AR163" s="94"/>
    </row>
    <row r="164" spans="1:44" x14ac:dyDescent="0.3">
      <c r="A164" s="93" t="s">
        <v>67</v>
      </c>
      <c r="B164" s="93">
        <v>0.62539999999999996</v>
      </c>
      <c r="C164" s="93"/>
      <c r="D164" s="93"/>
      <c r="E164" s="93" t="s">
        <v>67</v>
      </c>
      <c r="F164" s="93">
        <v>0.59670000000000001</v>
      </c>
      <c r="G164" s="93"/>
      <c r="H164" s="93"/>
      <c r="I164" s="93" t="s">
        <v>67</v>
      </c>
      <c r="J164" s="93"/>
      <c r="K164" s="93"/>
      <c r="L164" s="93">
        <v>0.58909999999999996</v>
      </c>
      <c r="M164" s="93"/>
      <c r="N164" s="93"/>
      <c r="O164" s="93" t="s">
        <v>67</v>
      </c>
      <c r="P164" s="93">
        <v>5.45E-2</v>
      </c>
      <c r="Q164" s="93"/>
      <c r="R164" s="93"/>
      <c r="S164" s="93" t="s">
        <v>67</v>
      </c>
      <c r="T164" s="93"/>
      <c r="U164" s="93"/>
      <c r="V164" s="93">
        <v>0.13919999999999999</v>
      </c>
      <c r="W164" s="93"/>
      <c r="X164" s="93"/>
      <c r="Y164" s="93" t="s">
        <v>67</v>
      </c>
      <c r="Z164" s="93">
        <v>0.30719999999999997</v>
      </c>
      <c r="AA164" s="93"/>
      <c r="AB164" s="93"/>
      <c r="AC164" s="93" t="s">
        <v>67</v>
      </c>
      <c r="AD164" s="93"/>
      <c r="AE164" s="93"/>
      <c r="AF164" s="93">
        <v>2.0000000000000001E-4</v>
      </c>
      <c r="AG164" s="93"/>
      <c r="AH164" s="93"/>
      <c r="AI164" s="93" t="s">
        <v>67</v>
      </c>
      <c r="AJ164" s="93">
        <v>0.57779999999999998</v>
      </c>
      <c r="AK164" s="93"/>
      <c r="AL164" s="93"/>
      <c r="AM164" s="93" t="s">
        <v>67</v>
      </c>
      <c r="AN164" s="93"/>
      <c r="AO164" s="93"/>
      <c r="AP164" s="94">
        <v>0.19550000000000001</v>
      </c>
      <c r="AQ164" s="94"/>
      <c r="AR164" s="94"/>
    </row>
    <row r="165" spans="1:44" x14ac:dyDescent="0.3">
      <c r="A165" s="93" t="s">
        <v>68</v>
      </c>
      <c r="B165" s="93">
        <v>0.53169999999999995</v>
      </c>
      <c r="C165" s="93"/>
      <c r="D165" s="93"/>
      <c r="E165" s="93" t="s">
        <v>68</v>
      </c>
      <c r="F165" s="93">
        <v>0.49590000000000001</v>
      </c>
      <c r="G165" s="93"/>
      <c r="H165" s="93"/>
      <c r="I165" s="93" t="s">
        <v>68</v>
      </c>
      <c r="J165" s="93"/>
      <c r="K165" s="93"/>
      <c r="L165" s="93">
        <v>0.4864</v>
      </c>
      <c r="M165" s="93"/>
      <c r="N165" s="93"/>
      <c r="O165" s="93" t="s">
        <v>68</v>
      </c>
      <c r="P165" s="93">
        <v>-0.18190000000000001</v>
      </c>
      <c r="Q165" s="93"/>
      <c r="R165" s="93"/>
      <c r="S165" s="93" t="s">
        <v>68</v>
      </c>
      <c r="T165" s="93"/>
      <c r="U165" s="93"/>
      <c r="V165" s="93">
        <v>-7.5999999999999998E-2</v>
      </c>
      <c r="W165" s="93"/>
      <c r="X165" s="93"/>
      <c r="Y165" s="93" t="s">
        <v>68</v>
      </c>
      <c r="Z165" s="93">
        <v>0.13400000000000001</v>
      </c>
      <c r="AA165" s="93"/>
      <c r="AB165" s="93"/>
      <c r="AC165" s="93" t="s">
        <v>68</v>
      </c>
      <c r="AD165" s="93"/>
      <c r="AE165" s="93"/>
      <c r="AF165" s="93">
        <v>-0.24970000000000001</v>
      </c>
      <c r="AG165" s="93"/>
      <c r="AH165" s="93"/>
      <c r="AI165" s="93" t="s">
        <v>68</v>
      </c>
      <c r="AJ165" s="93">
        <v>0.4723</v>
      </c>
      <c r="AK165" s="93"/>
      <c r="AL165" s="93"/>
      <c r="AM165" s="93" t="s">
        <v>68</v>
      </c>
      <c r="AN165" s="93"/>
      <c r="AO165" s="93"/>
      <c r="AP165" s="94">
        <v>-5.5999999999999999E-3</v>
      </c>
      <c r="AQ165" s="94"/>
      <c r="AR165" s="94"/>
    </row>
    <row r="166" spans="1:44" x14ac:dyDescent="0.3">
      <c r="A166" s="93" t="s">
        <v>69</v>
      </c>
      <c r="B166" s="93">
        <v>0.79079999999999995</v>
      </c>
      <c r="C166" s="93"/>
      <c r="D166" s="93"/>
      <c r="E166" s="93" t="s">
        <v>69</v>
      </c>
      <c r="F166" s="93">
        <v>0.77249999999999996</v>
      </c>
      <c r="G166" s="93"/>
      <c r="H166" s="93"/>
      <c r="I166" s="93" t="s">
        <v>69</v>
      </c>
      <c r="J166" s="93"/>
      <c r="K166" s="93"/>
      <c r="L166" s="93">
        <v>0.76749999999999996</v>
      </c>
      <c r="M166" s="93"/>
      <c r="N166" s="93"/>
      <c r="O166" s="93" t="s">
        <v>69</v>
      </c>
      <c r="P166" s="93">
        <v>0.2334</v>
      </c>
      <c r="Q166" s="93"/>
      <c r="R166" s="93"/>
      <c r="S166" s="93" t="s">
        <v>69</v>
      </c>
      <c r="T166" s="93"/>
      <c r="U166" s="93"/>
      <c r="V166" s="93">
        <v>0.373</v>
      </c>
      <c r="W166" s="93"/>
      <c r="X166" s="93"/>
      <c r="Y166" s="93" t="s">
        <v>69</v>
      </c>
      <c r="Z166" s="93">
        <v>0.55420000000000003</v>
      </c>
      <c r="AA166" s="93"/>
      <c r="AB166" s="93"/>
      <c r="AC166" s="93" t="s">
        <v>69</v>
      </c>
      <c r="AD166" s="93"/>
      <c r="AE166" s="93"/>
      <c r="AF166" s="93">
        <v>1.52E-2</v>
      </c>
      <c r="AG166" s="93"/>
      <c r="AH166" s="93"/>
      <c r="AI166" s="93" t="s">
        <v>69</v>
      </c>
      <c r="AJ166" s="93">
        <v>0.76019999999999999</v>
      </c>
      <c r="AK166" s="93"/>
      <c r="AL166" s="93"/>
      <c r="AM166" s="93" t="s">
        <v>69</v>
      </c>
      <c r="AN166" s="93"/>
      <c r="AO166" s="93"/>
      <c r="AP166" s="94">
        <v>0.44209999999999999</v>
      </c>
      <c r="AQ166" s="94"/>
      <c r="AR166" s="94"/>
    </row>
    <row r="167" spans="1:44" x14ac:dyDescent="0.3">
      <c r="A167" s="93" t="s">
        <v>70</v>
      </c>
      <c r="B167" s="93">
        <v>0.85799999999999998</v>
      </c>
      <c r="C167" s="93" t="s">
        <v>277</v>
      </c>
      <c r="D167" s="93" t="s">
        <v>278</v>
      </c>
      <c r="E167" s="93" t="s">
        <v>70</v>
      </c>
      <c r="F167" s="93">
        <v>1.0607</v>
      </c>
      <c r="G167" s="93" t="s">
        <v>279</v>
      </c>
      <c r="H167" s="93" t="s">
        <v>80</v>
      </c>
      <c r="I167" s="93" t="s">
        <v>70</v>
      </c>
      <c r="J167" s="93"/>
      <c r="K167" s="93"/>
      <c r="L167" s="93">
        <v>0.61729999999999996</v>
      </c>
      <c r="M167" s="93" t="s">
        <v>280</v>
      </c>
      <c r="N167" s="93" t="s">
        <v>281</v>
      </c>
      <c r="O167" s="93" t="s">
        <v>70</v>
      </c>
      <c r="P167" s="93">
        <v>0.84330000000000005</v>
      </c>
      <c r="Q167" s="93" t="s">
        <v>282</v>
      </c>
      <c r="R167" s="93" t="s">
        <v>283</v>
      </c>
      <c r="S167" s="93" t="s">
        <v>70</v>
      </c>
      <c r="T167" s="93"/>
      <c r="U167" s="93"/>
      <c r="V167" s="95">
        <v>2.9986999999999999</v>
      </c>
      <c r="W167" s="93" t="s">
        <v>284</v>
      </c>
      <c r="X167" s="93" t="s">
        <v>78</v>
      </c>
      <c r="Y167" s="93" t="s">
        <v>70</v>
      </c>
      <c r="Z167" s="95">
        <v>5.2087000000000003</v>
      </c>
      <c r="AA167" s="93" t="s">
        <v>285</v>
      </c>
      <c r="AB167" s="93" t="s">
        <v>78</v>
      </c>
      <c r="AC167" s="93" t="s">
        <v>70</v>
      </c>
      <c r="AD167" s="93"/>
      <c r="AE167" s="93"/>
      <c r="AF167" s="93">
        <v>0.90469999999999995</v>
      </c>
      <c r="AG167" s="93" t="s">
        <v>286</v>
      </c>
      <c r="AH167" s="93" t="s">
        <v>287</v>
      </c>
      <c r="AI167" s="93" t="s">
        <v>70</v>
      </c>
      <c r="AJ167" s="93">
        <v>2.97</v>
      </c>
      <c r="AK167" s="93" t="s">
        <v>288</v>
      </c>
      <c r="AL167" s="93" t="s">
        <v>78</v>
      </c>
      <c r="AM167" s="93" t="s">
        <v>70</v>
      </c>
      <c r="AN167" s="93"/>
      <c r="AO167" s="93"/>
      <c r="AP167" s="94">
        <v>4.9372999999999996</v>
      </c>
      <c r="AQ167" s="94" t="s">
        <v>289</v>
      </c>
      <c r="AR167" s="94" t="s">
        <v>78</v>
      </c>
    </row>
    <row r="168" spans="1:44" x14ac:dyDescent="0.3">
      <c r="A168" s="93" t="s">
        <v>86</v>
      </c>
      <c r="B168" s="93">
        <v>9.06E-2</v>
      </c>
      <c r="C168" s="93" t="s">
        <v>290</v>
      </c>
      <c r="D168" s="93" t="s">
        <v>268</v>
      </c>
      <c r="E168" s="93" t="s">
        <v>86</v>
      </c>
      <c r="F168" s="93">
        <v>9.4600000000000004E-2</v>
      </c>
      <c r="G168" s="93" t="s">
        <v>291</v>
      </c>
      <c r="H168" s="93" t="s">
        <v>292</v>
      </c>
      <c r="I168" s="93" t="s">
        <v>86</v>
      </c>
      <c r="J168" s="93"/>
      <c r="K168" s="93"/>
      <c r="L168" s="93">
        <v>8.0299999999999996E-2</v>
      </c>
      <c r="M168" s="93" t="s">
        <v>293</v>
      </c>
      <c r="N168" s="93" t="s">
        <v>294</v>
      </c>
      <c r="O168" s="93" t="s">
        <v>86</v>
      </c>
      <c r="P168" s="93">
        <v>2.4299999999999999E-2</v>
      </c>
      <c r="Q168" s="93" t="s">
        <v>295</v>
      </c>
      <c r="R168" s="93" t="s">
        <v>296</v>
      </c>
      <c r="S168" s="93" t="s">
        <v>86</v>
      </c>
      <c r="T168" s="93"/>
      <c r="U168" s="93"/>
      <c r="V168" s="95">
        <v>4.8000000000000001E-2</v>
      </c>
      <c r="W168" s="93" t="s">
        <v>297</v>
      </c>
      <c r="X168" s="93" t="s">
        <v>298</v>
      </c>
      <c r="Y168" s="93" t="s">
        <v>86</v>
      </c>
      <c r="Z168" s="95">
        <v>6.6600000000000006E-2</v>
      </c>
      <c r="AA168" s="93" t="s">
        <v>299</v>
      </c>
      <c r="AB168" s="93" t="s">
        <v>300</v>
      </c>
      <c r="AC168" s="93" t="s">
        <v>86</v>
      </c>
      <c r="AD168" s="93"/>
      <c r="AE168" s="93"/>
      <c r="AF168" s="93">
        <v>-2.3E-3</v>
      </c>
      <c r="AG168" s="93" t="s">
        <v>301</v>
      </c>
      <c r="AH168" s="93" t="s">
        <v>302</v>
      </c>
      <c r="AI168" s="93" t="s">
        <v>86</v>
      </c>
      <c r="AJ168" s="93">
        <v>6.8599999999999994E-2</v>
      </c>
      <c r="AK168" s="93" t="s">
        <v>303</v>
      </c>
      <c r="AL168" s="93" t="s">
        <v>304</v>
      </c>
      <c r="AM168" s="93" t="s">
        <v>86</v>
      </c>
      <c r="AN168" s="93"/>
      <c r="AO168" s="93"/>
      <c r="AP168" s="94">
        <v>4.0300000000000002E-2</v>
      </c>
      <c r="AQ168" s="94" t="s">
        <v>305</v>
      </c>
      <c r="AR168" s="94" t="s">
        <v>306</v>
      </c>
    </row>
    <row r="169" spans="1:44" x14ac:dyDescent="0.3">
      <c r="A169" s="93" t="s">
        <v>103</v>
      </c>
      <c r="B169" s="93" t="s">
        <v>307</v>
      </c>
      <c r="C169" s="93"/>
      <c r="D169" s="93"/>
      <c r="E169" s="93" t="s">
        <v>103</v>
      </c>
      <c r="F169" s="93" t="s">
        <v>308</v>
      </c>
      <c r="G169" s="93"/>
      <c r="H169" s="93"/>
      <c r="I169" s="93" t="s">
        <v>103</v>
      </c>
      <c r="J169" s="93"/>
      <c r="K169" s="93"/>
      <c r="L169" s="93" t="s">
        <v>309</v>
      </c>
      <c r="M169" s="93"/>
      <c r="N169" s="93"/>
      <c r="O169" s="93" t="s">
        <v>103</v>
      </c>
      <c r="P169" s="93" t="s">
        <v>310</v>
      </c>
      <c r="Q169" s="93"/>
      <c r="R169" s="93"/>
      <c r="S169" s="93" t="s">
        <v>103</v>
      </c>
      <c r="T169" s="93"/>
      <c r="U169" s="93"/>
      <c r="V169" s="93" t="s">
        <v>311</v>
      </c>
      <c r="W169" s="93"/>
      <c r="X169" s="93"/>
      <c r="Y169" s="93" t="s">
        <v>103</v>
      </c>
      <c r="Z169" s="93" t="s">
        <v>312</v>
      </c>
      <c r="AA169" s="93"/>
      <c r="AB169" s="93"/>
      <c r="AC169" s="93" t="s">
        <v>103</v>
      </c>
      <c r="AD169" s="93"/>
      <c r="AE169" s="93"/>
      <c r="AF169" s="93" t="s">
        <v>313</v>
      </c>
      <c r="AG169" s="93"/>
      <c r="AH169" s="93"/>
      <c r="AI169" s="93" t="s">
        <v>103</v>
      </c>
      <c r="AJ169" s="93" t="s">
        <v>314</v>
      </c>
      <c r="AK169" s="93"/>
      <c r="AL169" s="93"/>
      <c r="AM169" s="93" t="s">
        <v>103</v>
      </c>
      <c r="AN169" s="93"/>
      <c r="AO169" s="93"/>
      <c r="AP169" s="94" t="s">
        <v>315</v>
      </c>
      <c r="AQ169" s="94"/>
      <c r="AR169" s="94"/>
    </row>
    <row r="170" spans="1:44" x14ac:dyDescent="0.3">
      <c r="A170" s="93" t="s">
        <v>113</v>
      </c>
      <c r="B170" s="93" t="s">
        <v>316</v>
      </c>
      <c r="C170" s="93"/>
      <c r="D170" s="93"/>
      <c r="E170" s="93" t="s">
        <v>113</v>
      </c>
      <c r="F170" s="93" t="s">
        <v>317</v>
      </c>
      <c r="G170" s="93"/>
      <c r="H170" s="93"/>
      <c r="I170" s="93" t="s">
        <v>113</v>
      </c>
      <c r="J170" s="93"/>
      <c r="K170" s="93"/>
      <c r="L170" s="93" t="s">
        <v>318</v>
      </c>
      <c r="M170" s="93"/>
      <c r="N170" s="93"/>
      <c r="O170" s="93" t="s">
        <v>113</v>
      </c>
      <c r="P170" s="93" t="s">
        <v>319</v>
      </c>
      <c r="Q170" s="93"/>
      <c r="R170" s="93"/>
      <c r="S170" s="93" t="s">
        <v>113</v>
      </c>
      <c r="T170" s="93"/>
      <c r="U170" s="93"/>
      <c r="V170" s="93" t="s">
        <v>320</v>
      </c>
      <c r="W170" s="93"/>
      <c r="X170" s="93"/>
      <c r="Y170" s="93" t="s">
        <v>113</v>
      </c>
      <c r="Z170" s="93" t="s">
        <v>321</v>
      </c>
      <c r="AA170" s="93"/>
      <c r="AB170" s="93"/>
      <c r="AC170" s="93" t="s">
        <v>113</v>
      </c>
      <c r="AD170" s="93"/>
      <c r="AE170" s="93"/>
      <c r="AF170" s="93" t="s">
        <v>322</v>
      </c>
      <c r="AG170" s="93"/>
      <c r="AH170" s="93"/>
      <c r="AI170" s="93" t="s">
        <v>113</v>
      </c>
      <c r="AJ170" s="93" t="s">
        <v>323</v>
      </c>
      <c r="AK170" s="93"/>
      <c r="AL170" s="93"/>
      <c r="AM170" s="93" t="s">
        <v>113</v>
      </c>
      <c r="AN170" s="93"/>
      <c r="AO170" s="93"/>
      <c r="AP170" s="94" t="s">
        <v>324</v>
      </c>
      <c r="AQ170" s="94"/>
      <c r="AR170" s="94"/>
    </row>
    <row r="171" spans="1:44" x14ac:dyDescent="0.3">
      <c r="A171" s="93" t="s">
        <v>123</v>
      </c>
      <c r="B171" s="93" t="s">
        <v>124</v>
      </c>
      <c r="C171" s="93"/>
      <c r="D171" s="93"/>
      <c r="E171" s="93" t="s">
        <v>123</v>
      </c>
      <c r="F171" s="93" t="s">
        <v>124</v>
      </c>
      <c r="G171" s="93"/>
      <c r="H171" s="93"/>
      <c r="I171" s="93" t="s">
        <v>123</v>
      </c>
      <c r="J171" s="93"/>
      <c r="K171" s="93"/>
      <c r="L171" s="93" t="s">
        <v>124</v>
      </c>
      <c r="M171" s="93"/>
      <c r="N171" s="93"/>
      <c r="O171" s="93" t="s">
        <v>123</v>
      </c>
      <c r="P171" s="93" t="s">
        <v>124</v>
      </c>
      <c r="Q171" s="93"/>
      <c r="R171" s="93"/>
      <c r="S171" s="93" t="s">
        <v>123</v>
      </c>
      <c r="T171" s="93"/>
      <c r="U171" s="93"/>
      <c r="V171" s="93" t="s">
        <v>124</v>
      </c>
      <c r="W171" s="93"/>
      <c r="X171" s="93"/>
      <c r="Y171" s="93" t="s">
        <v>123</v>
      </c>
      <c r="Z171" s="93" t="s">
        <v>124</v>
      </c>
      <c r="AA171" s="93"/>
      <c r="AB171" s="93"/>
      <c r="AC171" s="93" t="s">
        <v>123</v>
      </c>
      <c r="AD171" s="93"/>
      <c r="AE171" s="93"/>
      <c r="AF171" s="93" t="s">
        <v>124</v>
      </c>
      <c r="AG171" s="93"/>
      <c r="AH171" s="93"/>
      <c r="AI171" s="93" t="s">
        <v>123</v>
      </c>
      <c r="AJ171" s="93" t="s">
        <v>124</v>
      </c>
      <c r="AK171" s="93"/>
      <c r="AL171" s="93"/>
      <c r="AM171" s="93" t="s">
        <v>123</v>
      </c>
      <c r="AN171" s="93"/>
      <c r="AO171" s="93"/>
      <c r="AP171" s="94" t="s">
        <v>124</v>
      </c>
      <c r="AQ171" s="94"/>
      <c r="AR171" s="94"/>
    </row>
    <row r="187" spans="1:44" x14ac:dyDescent="0.3">
      <c r="A187" s="92" t="s">
        <v>325</v>
      </c>
      <c r="B187" s="92"/>
      <c r="C187" s="92"/>
      <c r="D187" s="92"/>
      <c r="E187" s="92" t="s">
        <v>326</v>
      </c>
      <c r="F187" s="92"/>
      <c r="G187" s="92"/>
      <c r="H187" s="92"/>
      <c r="I187" s="92" t="s">
        <v>327</v>
      </c>
      <c r="J187" s="92"/>
      <c r="K187" s="92"/>
      <c r="L187" s="92"/>
      <c r="M187" s="92"/>
      <c r="N187" s="92"/>
      <c r="O187" s="92" t="s">
        <v>328</v>
      </c>
      <c r="P187" s="92"/>
      <c r="Q187" s="92"/>
      <c r="R187" s="92"/>
      <c r="S187" s="92" t="s">
        <v>329</v>
      </c>
      <c r="T187" s="92"/>
      <c r="U187" s="92"/>
      <c r="V187" s="92"/>
      <c r="W187" s="92"/>
      <c r="X187" s="92"/>
      <c r="Y187" s="92" t="s">
        <v>330</v>
      </c>
      <c r="Z187" s="92"/>
      <c r="AA187" s="92"/>
      <c r="AB187" s="92"/>
      <c r="AC187" s="92" t="s">
        <v>331</v>
      </c>
      <c r="AD187" s="92"/>
      <c r="AE187" s="92"/>
      <c r="AF187" s="92"/>
      <c r="AG187" s="92"/>
      <c r="AH187" s="92"/>
      <c r="AI187" s="92" t="s">
        <v>332</v>
      </c>
      <c r="AJ187" s="92"/>
      <c r="AK187" s="92"/>
      <c r="AL187" s="92"/>
      <c r="AM187" s="92" t="s">
        <v>333</v>
      </c>
      <c r="AN187" s="92"/>
      <c r="AO187" s="92"/>
      <c r="AP187" s="92"/>
      <c r="AQ187" s="92"/>
      <c r="AR187" s="92"/>
    </row>
    <row r="188" spans="1:44" x14ac:dyDescent="0.3">
      <c r="A188" s="83" t="s">
        <v>41</v>
      </c>
      <c r="B188" s="83" t="s">
        <v>42</v>
      </c>
      <c r="C188" s="83" t="s">
        <v>43</v>
      </c>
      <c r="D188" s="83" t="s">
        <v>44</v>
      </c>
      <c r="E188" s="83" t="s">
        <v>41</v>
      </c>
      <c r="F188" s="83" t="s">
        <v>42</v>
      </c>
      <c r="G188" s="83" t="s">
        <v>43</v>
      </c>
      <c r="H188" s="83" t="s">
        <v>44</v>
      </c>
      <c r="I188" s="83" t="s">
        <v>41</v>
      </c>
      <c r="J188" s="83"/>
      <c r="K188" s="83"/>
      <c r="L188" s="83" t="s">
        <v>42</v>
      </c>
      <c r="M188" s="83" t="s">
        <v>43</v>
      </c>
      <c r="N188" s="83" t="s">
        <v>44</v>
      </c>
      <c r="O188" s="83" t="s">
        <v>41</v>
      </c>
      <c r="P188" s="83" t="s">
        <v>42</v>
      </c>
      <c r="Q188" s="83" t="s">
        <v>43</v>
      </c>
      <c r="R188" s="83" t="s">
        <v>44</v>
      </c>
      <c r="S188" s="83" t="s">
        <v>41</v>
      </c>
      <c r="T188" s="83"/>
      <c r="U188" s="83"/>
      <c r="V188" s="83" t="s">
        <v>42</v>
      </c>
      <c r="W188" s="83" t="s">
        <v>43</v>
      </c>
      <c r="X188" s="83" t="s">
        <v>44</v>
      </c>
      <c r="Y188" s="83" t="s">
        <v>41</v>
      </c>
      <c r="Z188" s="83" t="s">
        <v>42</v>
      </c>
      <c r="AA188" s="83" t="s">
        <v>43</v>
      </c>
      <c r="AB188" s="83" t="s">
        <v>44</v>
      </c>
      <c r="AC188" s="83" t="s">
        <v>41</v>
      </c>
      <c r="AD188" s="83"/>
      <c r="AE188" s="83"/>
      <c r="AF188" s="83" t="s">
        <v>42</v>
      </c>
      <c r="AG188" s="83" t="s">
        <v>43</v>
      </c>
      <c r="AH188" s="83" t="s">
        <v>44</v>
      </c>
      <c r="AI188" s="83" t="s">
        <v>41</v>
      </c>
      <c r="AJ188" s="83" t="s">
        <v>42</v>
      </c>
      <c r="AK188" s="83" t="s">
        <v>43</v>
      </c>
      <c r="AL188" s="83" t="s">
        <v>44</v>
      </c>
      <c r="AM188" s="83" t="s">
        <v>41</v>
      </c>
      <c r="AN188" s="83"/>
      <c r="AO188" s="83"/>
      <c r="AP188" s="83" t="s">
        <v>42</v>
      </c>
      <c r="AQ188" s="83" t="s">
        <v>43</v>
      </c>
      <c r="AR188" s="83" t="s">
        <v>44</v>
      </c>
    </row>
    <row r="189" spans="1:44" x14ac:dyDescent="0.3">
      <c r="A189" s="83" t="s">
        <v>45</v>
      </c>
      <c r="B189" s="83">
        <v>1</v>
      </c>
      <c r="C189" s="83">
        <v>7.2999999999999995E-2</v>
      </c>
      <c r="D189" s="83">
        <v>7.2999999999999995E-2</v>
      </c>
      <c r="E189" s="83" t="s">
        <v>45</v>
      </c>
      <c r="F189" s="83">
        <v>1</v>
      </c>
      <c r="G189" s="83">
        <v>0.1671</v>
      </c>
      <c r="H189" s="83">
        <v>0.1671</v>
      </c>
      <c r="I189" s="83" t="s">
        <v>45</v>
      </c>
      <c r="J189" s="83"/>
      <c r="K189" s="83"/>
      <c r="L189" s="83">
        <v>1</v>
      </c>
      <c r="M189" s="83">
        <v>1.0800000000000001E-2</v>
      </c>
      <c r="N189" s="83">
        <v>1.0800000000000001E-2</v>
      </c>
      <c r="O189" s="83" t="s">
        <v>45</v>
      </c>
      <c r="P189" s="83">
        <v>1</v>
      </c>
      <c r="Q189" s="83">
        <v>27.3813</v>
      </c>
      <c r="R189" s="83">
        <v>27.3813</v>
      </c>
      <c r="S189" s="83" t="s">
        <v>45</v>
      </c>
      <c r="T189" s="83"/>
      <c r="U189" s="83"/>
      <c r="V189" s="83">
        <v>1</v>
      </c>
      <c r="W189" s="83">
        <v>8.0000000000000004E-4</v>
      </c>
      <c r="X189" s="83">
        <v>8.0000000000000004E-4</v>
      </c>
      <c r="Y189" s="83" t="s">
        <v>45</v>
      </c>
      <c r="Z189" s="83">
        <v>1</v>
      </c>
      <c r="AA189" s="83">
        <v>5.16E-2</v>
      </c>
      <c r="AB189" s="83">
        <v>5.16E-2</v>
      </c>
      <c r="AC189" s="83" t="s">
        <v>45</v>
      </c>
      <c r="AD189" s="83"/>
      <c r="AE189" s="83"/>
      <c r="AF189" s="83">
        <v>1</v>
      </c>
      <c r="AG189" s="83">
        <v>5.0000000000000001E-4</v>
      </c>
      <c r="AH189" s="83">
        <v>5.0000000000000001E-4</v>
      </c>
      <c r="AI189" s="83" t="s">
        <v>45</v>
      </c>
      <c r="AJ189" s="83">
        <v>1</v>
      </c>
      <c r="AK189" s="83">
        <v>2.1600000000000001E-2</v>
      </c>
      <c r="AL189" s="83">
        <v>2.1600000000000001E-2</v>
      </c>
      <c r="AM189" s="83" t="s">
        <v>45</v>
      </c>
      <c r="AN189" s="83"/>
      <c r="AO189" s="83"/>
      <c r="AP189" s="83">
        <v>1</v>
      </c>
      <c r="AQ189" s="83">
        <v>7.6E-3</v>
      </c>
      <c r="AR189" s="83">
        <v>7.6E-3</v>
      </c>
    </row>
    <row r="190" spans="1:44" x14ac:dyDescent="0.3">
      <c r="A190" s="83" t="s">
        <v>46</v>
      </c>
      <c r="B190" s="83">
        <v>4</v>
      </c>
      <c r="C190" s="83">
        <v>9.2999999999999999E-2</v>
      </c>
      <c r="D190" s="83">
        <v>2.3199999999999998E-2</v>
      </c>
      <c r="E190" s="83" t="s">
        <v>46</v>
      </c>
      <c r="F190" s="83">
        <v>4</v>
      </c>
      <c r="G190" s="83">
        <v>0.26900000000000002</v>
      </c>
      <c r="H190" s="83">
        <v>6.7299999999999999E-2</v>
      </c>
      <c r="I190" s="83" t="s">
        <v>46</v>
      </c>
      <c r="J190" s="83"/>
      <c r="K190" s="83"/>
      <c r="L190" s="83">
        <v>4</v>
      </c>
      <c r="M190" s="83">
        <v>0.15190000000000001</v>
      </c>
      <c r="N190" s="83">
        <v>3.7999999999999999E-2</v>
      </c>
      <c r="O190" s="83" t="s">
        <v>46</v>
      </c>
      <c r="P190" s="83">
        <v>4</v>
      </c>
      <c r="Q190" s="83">
        <v>10.228300000000001</v>
      </c>
      <c r="R190" s="83">
        <v>2.5571000000000002</v>
      </c>
      <c r="S190" s="83" t="s">
        <v>46</v>
      </c>
      <c r="T190" s="83"/>
      <c r="U190" s="83"/>
      <c r="V190" s="83">
        <v>4</v>
      </c>
      <c r="W190" s="83">
        <v>0.56969999999999998</v>
      </c>
      <c r="X190" s="83">
        <v>0.1424</v>
      </c>
      <c r="Y190" s="83" t="s">
        <v>46</v>
      </c>
      <c r="Z190" s="83">
        <v>4</v>
      </c>
      <c r="AA190" s="83">
        <v>0.25580000000000003</v>
      </c>
      <c r="AB190" s="83">
        <v>6.4000000000000001E-2</v>
      </c>
      <c r="AC190" s="83" t="s">
        <v>46</v>
      </c>
      <c r="AD190" s="83"/>
      <c r="AE190" s="83"/>
      <c r="AF190" s="83">
        <v>4</v>
      </c>
      <c r="AG190" s="83">
        <v>1.5898000000000001</v>
      </c>
      <c r="AH190" s="83">
        <v>0.39739999999999998</v>
      </c>
      <c r="AI190" s="83" t="s">
        <v>46</v>
      </c>
      <c r="AJ190" s="83">
        <v>4</v>
      </c>
      <c r="AK190" s="83">
        <v>0.62949999999999995</v>
      </c>
      <c r="AL190" s="83">
        <v>0.15740000000000001</v>
      </c>
      <c r="AM190" s="83" t="s">
        <v>46</v>
      </c>
      <c r="AN190" s="83"/>
      <c r="AO190" s="83"/>
      <c r="AP190" s="83">
        <v>4</v>
      </c>
      <c r="AQ190" s="83">
        <v>0.28910000000000002</v>
      </c>
      <c r="AR190" s="83">
        <v>7.2300000000000003E-2</v>
      </c>
    </row>
    <row r="191" spans="1:44" x14ac:dyDescent="0.3">
      <c r="A191" s="83" t="s">
        <v>47</v>
      </c>
      <c r="B191" s="83">
        <v>5</v>
      </c>
      <c r="C191" s="83">
        <v>0.16589999999999999</v>
      </c>
      <c r="D191" s="83" t="s">
        <v>48</v>
      </c>
      <c r="E191" s="83" t="s">
        <v>47</v>
      </c>
      <c r="F191" s="83">
        <v>5</v>
      </c>
      <c r="G191" s="83">
        <v>0.43609999999999999</v>
      </c>
      <c r="H191" s="83" t="s">
        <v>48</v>
      </c>
      <c r="I191" s="83" t="s">
        <v>47</v>
      </c>
      <c r="J191" s="83"/>
      <c r="K191" s="83"/>
      <c r="L191" s="83">
        <v>5</v>
      </c>
      <c r="M191" s="83">
        <v>0.16270000000000001</v>
      </c>
      <c r="N191" s="83" t="s">
        <v>48</v>
      </c>
      <c r="O191" s="83" t="s">
        <v>47</v>
      </c>
      <c r="P191" s="83">
        <v>5</v>
      </c>
      <c r="Q191" s="83">
        <v>37.6096</v>
      </c>
      <c r="R191" s="83" t="s">
        <v>48</v>
      </c>
      <c r="S191" s="83" t="s">
        <v>47</v>
      </c>
      <c r="T191" s="83"/>
      <c r="U191" s="83"/>
      <c r="V191" s="83">
        <v>5</v>
      </c>
      <c r="W191" s="83">
        <v>0.57050000000000001</v>
      </c>
      <c r="X191" s="83" t="s">
        <v>48</v>
      </c>
      <c r="Y191" s="83" t="s">
        <v>47</v>
      </c>
      <c r="Z191" s="83">
        <v>5</v>
      </c>
      <c r="AA191" s="83">
        <v>0.30740000000000001</v>
      </c>
      <c r="AB191" s="83" t="s">
        <v>48</v>
      </c>
      <c r="AC191" s="83" t="s">
        <v>47</v>
      </c>
      <c r="AD191" s="83"/>
      <c r="AE191" s="83"/>
      <c r="AF191" s="83">
        <v>5</v>
      </c>
      <c r="AG191" s="83">
        <v>1.5903</v>
      </c>
      <c r="AH191" s="83" t="s">
        <v>48</v>
      </c>
      <c r="AI191" s="83" t="s">
        <v>47</v>
      </c>
      <c r="AJ191" s="83">
        <v>5</v>
      </c>
      <c r="AK191" s="83">
        <v>0.65110000000000001</v>
      </c>
      <c r="AL191" s="83" t="s">
        <v>48</v>
      </c>
      <c r="AM191" s="83" t="s">
        <v>47</v>
      </c>
      <c r="AN191" s="83"/>
      <c r="AO191" s="83"/>
      <c r="AP191" s="83">
        <v>5</v>
      </c>
      <c r="AQ191" s="83">
        <v>0.29670000000000002</v>
      </c>
      <c r="AR191" s="83" t="s">
        <v>48</v>
      </c>
    </row>
    <row r="192" spans="1:44" x14ac:dyDescent="0.3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</row>
    <row r="193" spans="1:44" x14ac:dyDescent="0.3">
      <c r="A193" s="83" t="s">
        <v>49</v>
      </c>
      <c r="B193" s="83">
        <v>3.1394000000000002</v>
      </c>
      <c r="C193" s="83" t="s">
        <v>334</v>
      </c>
      <c r="D193" s="83"/>
      <c r="E193" s="83" t="s">
        <v>49</v>
      </c>
      <c r="F193" s="83">
        <v>2.4842</v>
      </c>
      <c r="G193" s="83" t="s">
        <v>335</v>
      </c>
      <c r="H193" s="83"/>
      <c r="I193" s="83" t="s">
        <v>49</v>
      </c>
      <c r="J193" s="83"/>
      <c r="K193" s="83"/>
      <c r="L193" s="83">
        <v>0.2848</v>
      </c>
      <c r="M193" s="83" t="s">
        <v>336</v>
      </c>
      <c r="N193" s="83"/>
      <c r="O193" s="83" t="s">
        <v>49</v>
      </c>
      <c r="P193" s="83">
        <v>10.708</v>
      </c>
      <c r="Q193" s="83" t="s">
        <v>337</v>
      </c>
      <c r="R193" s="83"/>
      <c r="S193" s="83" t="s">
        <v>49</v>
      </c>
      <c r="T193" s="83"/>
      <c r="U193" s="83"/>
      <c r="V193" s="83">
        <v>5.3E-3</v>
      </c>
      <c r="W193" s="83" t="s">
        <v>338</v>
      </c>
      <c r="X193" s="83"/>
      <c r="Y193" s="83" t="s">
        <v>49</v>
      </c>
      <c r="Z193" s="83">
        <v>0.80630000000000002</v>
      </c>
      <c r="AA193" s="83" t="s">
        <v>339</v>
      </c>
      <c r="AB193" s="83"/>
      <c r="AC193" s="83" t="s">
        <v>49</v>
      </c>
      <c r="AD193" s="83"/>
      <c r="AE193" s="83"/>
      <c r="AF193" s="83">
        <v>1.2999999999999999E-3</v>
      </c>
      <c r="AG193" s="83" t="s">
        <v>340</v>
      </c>
      <c r="AH193" s="83"/>
      <c r="AI193" s="83" t="s">
        <v>49</v>
      </c>
      <c r="AJ193" s="83">
        <v>0.13730000000000001</v>
      </c>
      <c r="AK193" s="83" t="s">
        <v>341</v>
      </c>
      <c r="AL193" s="83"/>
      <c r="AM193" s="83" t="s">
        <v>49</v>
      </c>
      <c r="AN193" s="83"/>
      <c r="AO193" s="83"/>
      <c r="AP193" s="83">
        <v>0.1053</v>
      </c>
      <c r="AQ193" s="83" t="s">
        <v>342</v>
      </c>
      <c r="AR193" s="83"/>
    </row>
    <row r="194" spans="1:44" x14ac:dyDescent="0.3">
      <c r="A194" s="83" t="s">
        <v>59</v>
      </c>
      <c r="B194" s="83" t="s">
        <v>61</v>
      </c>
      <c r="C194" s="83"/>
      <c r="D194" s="83"/>
      <c r="E194" s="83" t="s">
        <v>59</v>
      </c>
      <c r="F194" s="83" t="s">
        <v>61</v>
      </c>
      <c r="G194" s="83"/>
      <c r="H194" s="83"/>
      <c r="I194" s="83" t="s">
        <v>59</v>
      </c>
      <c r="J194" s="83"/>
      <c r="K194" s="83"/>
      <c r="L194" s="83" t="s">
        <v>61</v>
      </c>
      <c r="M194" s="83"/>
      <c r="N194" s="83"/>
      <c r="O194" s="83" t="s">
        <v>59</v>
      </c>
      <c r="P194" s="83" t="s">
        <v>61</v>
      </c>
      <c r="Q194" s="83"/>
      <c r="R194" s="83"/>
      <c r="S194" s="83" t="s">
        <v>59</v>
      </c>
      <c r="T194" s="83"/>
      <c r="U194" s="83"/>
      <c r="V194" s="83" t="s">
        <v>61</v>
      </c>
      <c r="W194" s="83"/>
      <c r="X194" s="83"/>
      <c r="Y194" s="83" t="s">
        <v>59</v>
      </c>
      <c r="Z194" s="83" t="s">
        <v>61</v>
      </c>
      <c r="AA194" s="83"/>
      <c r="AB194" s="83"/>
      <c r="AC194" s="83" t="s">
        <v>59</v>
      </c>
      <c r="AD194" s="83"/>
      <c r="AE194" s="83"/>
      <c r="AF194" s="83" t="s">
        <v>61</v>
      </c>
      <c r="AG194" s="83"/>
      <c r="AH194" s="83"/>
      <c r="AI194" s="83" t="s">
        <v>59</v>
      </c>
      <c r="AJ194" s="83" t="s">
        <v>61</v>
      </c>
      <c r="AK194" s="83"/>
      <c r="AL194" s="83"/>
      <c r="AM194" s="83" t="s">
        <v>59</v>
      </c>
      <c r="AN194" s="83"/>
      <c r="AO194" s="83"/>
      <c r="AP194" s="83" t="s">
        <v>61</v>
      </c>
      <c r="AQ194" s="83"/>
      <c r="AR194" s="83"/>
    </row>
    <row r="195" spans="1:44" x14ac:dyDescent="0.3">
      <c r="A195" s="83" t="s">
        <v>62</v>
      </c>
      <c r="B195" s="83" t="s">
        <v>64</v>
      </c>
      <c r="C195" s="83"/>
      <c r="D195" s="83"/>
      <c r="E195" s="83" t="s">
        <v>62</v>
      </c>
      <c r="F195" s="83" t="s">
        <v>64</v>
      </c>
      <c r="G195" s="83"/>
      <c r="H195" s="83"/>
      <c r="I195" s="83" t="s">
        <v>62</v>
      </c>
      <c r="J195" s="83"/>
      <c r="K195" s="83"/>
      <c r="L195" s="83" t="s">
        <v>64</v>
      </c>
      <c r="M195" s="83"/>
      <c r="N195" s="83"/>
      <c r="O195" s="83" t="s">
        <v>62</v>
      </c>
      <c r="P195" s="83" t="s">
        <v>64</v>
      </c>
      <c r="Q195" s="83"/>
      <c r="R195" s="83"/>
      <c r="S195" s="83" t="s">
        <v>62</v>
      </c>
      <c r="T195" s="83"/>
      <c r="U195" s="83"/>
      <c r="V195" s="83" t="s">
        <v>64</v>
      </c>
      <c r="W195" s="83"/>
      <c r="X195" s="83"/>
      <c r="Y195" s="83" t="s">
        <v>62</v>
      </c>
      <c r="Z195" s="83" t="s">
        <v>64</v>
      </c>
      <c r="AA195" s="83"/>
      <c r="AB195" s="83"/>
      <c r="AC195" s="83" t="s">
        <v>62</v>
      </c>
      <c r="AD195" s="83"/>
      <c r="AE195" s="83"/>
      <c r="AF195" s="83" t="s">
        <v>64</v>
      </c>
      <c r="AG195" s="83"/>
      <c r="AH195" s="83"/>
      <c r="AI195" s="83" t="s">
        <v>62</v>
      </c>
      <c r="AJ195" s="83" t="s">
        <v>64</v>
      </c>
      <c r="AK195" s="83"/>
      <c r="AL195" s="83"/>
      <c r="AM195" s="83" t="s">
        <v>62</v>
      </c>
      <c r="AN195" s="83"/>
      <c r="AO195" s="83"/>
      <c r="AP195" s="83" t="s">
        <v>64</v>
      </c>
      <c r="AQ195" s="83"/>
      <c r="AR195" s="83"/>
    </row>
    <row r="196" spans="1:44" x14ac:dyDescent="0.3">
      <c r="A196" s="83" t="s">
        <v>65</v>
      </c>
      <c r="B196" s="83">
        <v>3.5</v>
      </c>
      <c r="C196" s="83"/>
      <c r="D196" s="83"/>
      <c r="E196" s="83" t="s">
        <v>65</v>
      </c>
      <c r="F196" s="83">
        <v>3.5</v>
      </c>
      <c r="G196" s="83"/>
      <c r="H196" s="83"/>
      <c r="I196" s="83" t="s">
        <v>65</v>
      </c>
      <c r="J196" s="83"/>
      <c r="K196" s="83"/>
      <c r="L196" s="83">
        <v>3.5</v>
      </c>
      <c r="M196" s="83"/>
      <c r="N196" s="83"/>
      <c r="O196" s="83" t="s">
        <v>65</v>
      </c>
      <c r="P196" s="83">
        <v>3.5</v>
      </c>
      <c r="Q196" s="83"/>
      <c r="R196" s="83"/>
      <c r="S196" s="83" t="s">
        <v>65</v>
      </c>
      <c r="T196" s="83"/>
      <c r="U196" s="83"/>
      <c r="V196" s="83">
        <v>3.5</v>
      </c>
      <c r="W196" s="83"/>
      <c r="X196" s="83"/>
      <c r="Y196" s="83" t="s">
        <v>65</v>
      </c>
      <c r="Z196" s="83">
        <v>3.5</v>
      </c>
      <c r="AA196" s="83"/>
      <c r="AB196" s="83"/>
      <c r="AC196" s="83" t="s">
        <v>65</v>
      </c>
      <c r="AD196" s="83"/>
      <c r="AE196" s="83"/>
      <c r="AF196" s="83">
        <v>3.5</v>
      </c>
      <c r="AG196" s="83"/>
      <c r="AH196" s="83"/>
      <c r="AI196" s="83" t="s">
        <v>65</v>
      </c>
      <c r="AJ196" s="83">
        <v>3.5</v>
      </c>
      <c r="AK196" s="83"/>
      <c r="AL196" s="83"/>
      <c r="AM196" s="83" t="s">
        <v>65</v>
      </c>
      <c r="AN196" s="83"/>
      <c r="AO196" s="83"/>
      <c r="AP196" s="83">
        <v>3.5</v>
      </c>
      <c r="AQ196" s="83"/>
      <c r="AR196" s="83"/>
    </row>
    <row r="197" spans="1:44" x14ac:dyDescent="0.3">
      <c r="A197" s="83" t="s">
        <v>66</v>
      </c>
      <c r="B197" s="83">
        <v>1.5266999999999999</v>
      </c>
      <c r="C197" s="83"/>
      <c r="D197" s="83"/>
      <c r="E197" s="83" t="s">
        <v>66</v>
      </c>
      <c r="F197" s="83">
        <v>1.5667</v>
      </c>
      <c r="G197" s="83"/>
      <c r="H197" s="83"/>
      <c r="I197" s="83" t="s">
        <v>66</v>
      </c>
      <c r="J197" s="83"/>
      <c r="K197" s="83"/>
      <c r="L197" s="83">
        <v>1.4517</v>
      </c>
      <c r="M197" s="83"/>
      <c r="N197" s="83"/>
      <c r="O197" s="83" t="s">
        <v>66</v>
      </c>
      <c r="P197" s="83">
        <v>-0.33</v>
      </c>
      <c r="Q197" s="83"/>
      <c r="R197" s="83"/>
      <c r="S197" s="83" t="s">
        <v>66</v>
      </c>
      <c r="T197" s="83"/>
      <c r="U197" s="83"/>
      <c r="V197" s="83">
        <v>3.8083</v>
      </c>
      <c r="W197" s="83"/>
      <c r="X197" s="83"/>
      <c r="Y197" s="83" t="s">
        <v>66</v>
      </c>
      <c r="Z197" s="83">
        <v>5.64</v>
      </c>
      <c r="AA197" s="83"/>
      <c r="AB197" s="83"/>
      <c r="AC197" s="83" t="s">
        <v>66</v>
      </c>
      <c r="AD197" s="83"/>
      <c r="AE197" s="83"/>
      <c r="AF197" s="83">
        <v>1.5717000000000001</v>
      </c>
      <c r="AG197" s="83"/>
      <c r="AH197" s="83"/>
      <c r="AI197" s="83" t="s">
        <v>66</v>
      </c>
      <c r="AJ197" s="83">
        <v>3.4916999999999998</v>
      </c>
      <c r="AK197" s="83"/>
      <c r="AL197" s="83"/>
      <c r="AM197" s="83" t="s">
        <v>66</v>
      </c>
      <c r="AN197" s="83"/>
      <c r="AO197" s="83"/>
      <c r="AP197" s="83">
        <v>5.5682999999999998</v>
      </c>
      <c r="AQ197" s="83"/>
      <c r="AR197" s="83"/>
    </row>
    <row r="198" spans="1:44" x14ac:dyDescent="0.3">
      <c r="A198" s="83" t="s">
        <v>67</v>
      </c>
      <c r="B198" s="83">
        <v>0.43969999999999998</v>
      </c>
      <c r="C198" s="83"/>
      <c r="D198" s="83"/>
      <c r="E198" s="83" t="s">
        <v>67</v>
      </c>
      <c r="F198" s="83">
        <v>0.3831</v>
      </c>
      <c r="G198" s="83"/>
      <c r="H198" s="83"/>
      <c r="I198" s="83" t="s">
        <v>67</v>
      </c>
      <c r="J198" s="83"/>
      <c r="K198" s="83"/>
      <c r="L198" s="83">
        <v>6.6500000000000004E-2</v>
      </c>
      <c r="M198" s="83"/>
      <c r="N198" s="83"/>
      <c r="O198" s="83" t="s">
        <v>67</v>
      </c>
      <c r="P198" s="83">
        <v>0.72799999999999998</v>
      </c>
      <c r="Q198" s="83"/>
      <c r="R198" s="83"/>
      <c r="S198" s="83" t="s">
        <v>67</v>
      </c>
      <c r="T198" s="83"/>
      <c r="U198" s="83"/>
      <c r="V198" s="83">
        <v>1.2999999999999999E-3</v>
      </c>
      <c r="W198" s="83"/>
      <c r="X198" s="83"/>
      <c r="Y198" s="83" t="s">
        <v>67</v>
      </c>
      <c r="Z198" s="83">
        <v>0.1678</v>
      </c>
      <c r="AA198" s="83"/>
      <c r="AB198" s="83"/>
      <c r="AC198" s="83" t="s">
        <v>67</v>
      </c>
      <c r="AD198" s="83"/>
      <c r="AE198" s="83"/>
      <c r="AF198" s="83">
        <v>2.9999999999999997E-4</v>
      </c>
      <c r="AG198" s="83"/>
      <c r="AH198" s="83"/>
      <c r="AI198" s="83" t="s">
        <v>67</v>
      </c>
      <c r="AJ198" s="83">
        <v>3.32E-2</v>
      </c>
      <c r="AK198" s="83"/>
      <c r="AL198" s="83"/>
      <c r="AM198" s="83" t="s">
        <v>67</v>
      </c>
      <c r="AN198" s="83"/>
      <c r="AO198" s="83"/>
      <c r="AP198" s="83">
        <v>2.5700000000000001E-2</v>
      </c>
      <c r="AQ198" s="83"/>
      <c r="AR198" s="83"/>
    </row>
    <row r="199" spans="1:44" x14ac:dyDescent="0.3">
      <c r="A199" s="83" t="s">
        <v>68</v>
      </c>
      <c r="B199" s="83">
        <v>0.29970000000000002</v>
      </c>
      <c r="C199" s="83"/>
      <c r="D199" s="83"/>
      <c r="E199" s="83" t="s">
        <v>68</v>
      </c>
      <c r="F199" s="83">
        <v>0.22889999999999999</v>
      </c>
      <c r="G199" s="83"/>
      <c r="H199" s="83"/>
      <c r="I199" s="83" t="s">
        <v>68</v>
      </c>
      <c r="J199" s="83"/>
      <c r="K199" s="83"/>
      <c r="L199" s="83">
        <v>-0.16689999999999999</v>
      </c>
      <c r="M199" s="83"/>
      <c r="N199" s="83"/>
      <c r="O199" s="83" t="s">
        <v>68</v>
      </c>
      <c r="P199" s="83">
        <v>0.66</v>
      </c>
      <c r="Q199" s="83"/>
      <c r="R199" s="83"/>
      <c r="S199" s="83" t="s">
        <v>68</v>
      </c>
      <c r="T199" s="83"/>
      <c r="U199" s="83"/>
      <c r="V199" s="83">
        <v>-0.24829999999999999</v>
      </c>
      <c r="W199" s="83"/>
      <c r="X199" s="83"/>
      <c r="Y199" s="83" t="s">
        <v>68</v>
      </c>
      <c r="Z199" s="83">
        <v>-4.0300000000000002E-2</v>
      </c>
      <c r="AA199" s="83"/>
      <c r="AB199" s="83"/>
      <c r="AC199" s="83" t="s">
        <v>68</v>
      </c>
      <c r="AD199" s="83"/>
      <c r="AE199" s="83"/>
      <c r="AF199" s="83">
        <v>-0.24959999999999999</v>
      </c>
      <c r="AG199" s="83"/>
      <c r="AH199" s="83"/>
      <c r="AI199" s="83" t="s">
        <v>68</v>
      </c>
      <c r="AJ199" s="83">
        <v>-0.20849999999999999</v>
      </c>
      <c r="AK199" s="83"/>
      <c r="AL199" s="83"/>
      <c r="AM199" s="83" t="s">
        <v>68</v>
      </c>
      <c r="AN199" s="83"/>
      <c r="AO199" s="83"/>
      <c r="AP199" s="83">
        <v>-0.21790000000000001</v>
      </c>
      <c r="AQ199" s="83"/>
      <c r="AR199" s="83"/>
    </row>
    <row r="200" spans="1:44" x14ac:dyDescent="0.3">
      <c r="A200" s="83" t="s">
        <v>69</v>
      </c>
      <c r="B200" s="83">
        <v>0.66310000000000002</v>
      </c>
      <c r="C200" s="83"/>
      <c r="D200" s="83"/>
      <c r="E200" s="83" t="s">
        <v>69</v>
      </c>
      <c r="F200" s="83">
        <v>0.61899999999999999</v>
      </c>
      <c r="G200" s="83"/>
      <c r="H200" s="83"/>
      <c r="I200" s="83" t="s">
        <v>69</v>
      </c>
      <c r="J200" s="83"/>
      <c r="K200" s="83"/>
      <c r="L200" s="83">
        <v>0.25779999999999997</v>
      </c>
      <c r="M200" s="83"/>
      <c r="N200" s="83"/>
      <c r="O200" s="83" t="s">
        <v>69</v>
      </c>
      <c r="P200" s="83">
        <v>0.85329999999999995</v>
      </c>
      <c r="Q200" s="83"/>
      <c r="R200" s="83"/>
      <c r="S200" s="83" t="s">
        <v>69</v>
      </c>
      <c r="T200" s="83"/>
      <c r="U200" s="83"/>
      <c r="V200" s="83">
        <v>3.6400000000000002E-2</v>
      </c>
      <c r="W200" s="83"/>
      <c r="X200" s="83"/>
      <c r="Y200" s="83" t="s">
        <v>69</v>
      </c>
      <c r="Z200" s="83">
        <v>0.40960000000000002</v>
      </c>
      <c r="AA200" s="83"/>
      <c r="AB200" s="83"/>
      <c r="AC200" s="83" t="s">
        <v>69</v>
      </c>
      <c r="AD200" s="83"/>
      <c r="AE200" s="83"/>
      <c r="AF200" s="83">
        <v>1.7999999999999999E-2</v>
      </c>
      <c r="AG200" s="83"/>
      <c r="AH200" s="83"/>
      <c r="AI200" s="83" t="s">
        <v>69</v>
      </c>
      <c r="AJ200" s="83">
        <v>0.1822</v>
      </c>
      <c r="AK200" s="83"/>
      <c r="AL200" s="83"/>
      <c r="AM200" s="83" t="s">
        <v>69</v>
      </c>
      <c r="AN200" s="83"/>
      <c r="AO200" s="83"/>
      <c r="AP200" s="83">
        <v>0.16020000000000001</v>
      </c>
      <c r="AQ200" s="83"/>
      <c r="AR200" s="83"/>
    </row>
    <row r="201" spans="1:44" x14ac:dyDescent="0.3">
      <c r="A201" s="83" t="s">
        <v>70</v>
      </c>
      <c r="B201" s="83">
        <v>1.3007</v>
      </c>
      <c r="C201" s="83" t="s">
        <v>343</v>
      </c>
      <c r="D201" s="83" t="s">
        <v>344</v>
      </c>
      <c r="E201" s="83" t="s">
        <v>70</v>
      </c>
      <c r="F201" s="83">
        <v>1.2246999999999999</v>
      </c>
      <c r="G201" s="83" t="s">
        <v>345</v>
      </c>
      <c r="H201" s="83" t="s">
        <v>346</v>
      </c>
      <c r="I201" s="83" t="s">
        <v>70</v>
      </c>
      <c r="J201" s="83"/>
      <c r="K201" s="83"/>
      <c r="L201" s="83">
        <v>1.3647</v>
      </c>
      <c r="M201" s="83" t="s">
        <v>347</v>
      </c>
      <c r="N201" s="83" t="s">
        <v>348</v>
      </c>
      <c r="O201" s="83" t="s">
        <v>70</v>
      </c>
      <c r="P201" s="83">
        <v>-4.7080000000000002</v>
      </c>
      <c r="Q201" s="83" t="s">
        <v>349</v>
      </c>
      <c r="R201" s="83" t="s">
        <v>350</v>
      </c>
      <c r="S201" s="83" t="s">
        <v>70</v>
      </c>
      <c r="T201" s="83"/>
      <c r="U201" s="83"/>
      <c r="V201" s="83">
        <v>3.7852999999999999</v>
      </c>
      <c r="W201" s="83" t="s">
        <v>351</v>
      </c>
      <c r="X201" s="83" t="s">
        <v>78</v>
      </c>
      <c r="Y201" s="83" t="s">
        <v>70</v>
      </c>
      <c r="Z201" s="83">
        <v>5.45</v>
      </c>
      <c r="AA201" s="83" t="s">
        <v>352</v>
      </c>
      <c r="AB201" s="83" t="s">
        <v>78</v>
      </c>
      <c r="AC201" s="83" t="s">
        <v>70</v>
      </c>
      <c r="AD201" s="83"/>
      <c r="AE201" s="83"/>
      <c r="AF201" s="83">
        <v>1.5907</v>
      </c>
      <c r="AG201" s="83" t="s">
        <v>353</v>
      </c>
      <c r="AH201" s="83" t="s">
        <v>354</v>
      </c>
      <c r="AI201" s="83" t="s">
        <v>70</v>
      </c>
      <c r="AJ201" s="83">
        <v>3.3687</v>
      </c>
      <c r="AK201" s="83" t="s">
        <v>355</v>
      </c>
      <c r="AL201" s="83" t="s">
        <v>344</v>
      </c>
      <c r="AM201" s="83" t="s">
        <v>70</v>
      </c>
      <c r="AN201" s="83"/>
      <c r="AO201" s="83"/>
      <c r="AP201" s="83">
        <v>5.6413000000000002</v>
      </c>
      <c r="AQ201" s="83" t="s">
        <v>356</v>
      </c>
      <c r="AR201" s="83" t="s">
        <v>78</v>
      </c>
    </row>
    <row r="202" spans="1:44" x14ac:dyDescent="0.3">
      <c r="A202" s="83" t="s">
        <v>86</v>
      </c>
      <c r="B202" s="83">
        <v>6.4600000000000005E-2</v>
      </c>
      <c r="C202" s="83" t="s">
        <v>357</v>
      </c>
      <c r="D202" s="83" t="s">
        <v>358</v>
      </c>
      <c r="E202" s="83" t="s">
        <v>86</v>
      </c>
      <c r="F202" s="83">
        <v>9.7699999999999995E-2</v>
      </c>
      <c r="G202" s="83" t="s">
        <v>359</v>
      </c>
      <c r="H202" s="83" t="s">
        <v>360</v>
      </c>
      <c r="I202" s="83" t="s">
        <v>86</v>
      </c>
      <c r="J202" s="83"/>
      <c r="K202" s="83"/>
      <c r="L202" s="83">
        <v>2.4899999999999999E-2</v>
      </c>
      <c r="M202" s="83" t="s">
        <v>361</v>
      </c>
      <c r="N202" s="83" t="s">
        <v>362</v>
      </c>
      <c r="O202" s="83" t="s">
        <v>86</v>
      </c>
      <c r="P202" s="83">
        <v>1.2508999999999999</v>
      </c>
      <c r="Q202" s="83" t="s">
        <v>363</v>
      </c>
      <c r="R202" s="83" t="s">
        <v>364</v>
      </c>
      <c r="S202" s="83" t="s">
        <v>86</v>
      </c>
      <c r="T202" s="83"/>
      <c r="U202" s="83"/>
      <c r="V202" s="83">
        <v>6.6E-3</v>
      </c>
      <c r="W202" s="83" t="s">
        <v>365</v>
      </c>
      <c r="X202" s="83" t="s">
        <v>366</v>
      </c>
      <c r="Y202" s="83" t="s">
        <v>86</v>
      </c>
      <c r="Z202" s="83">
        <v>5.4300000000000001E-2</v>
      </c>
      <c r="AA202" s="83" t="s">
        <v>367</v>
      </c>
      <c r="AB202" s="83" t="s">
        <v>368</v>
      </c>
      <c r="AC202" s="83" t="s">
        <v>86</v>
      </c>
      <c r="AD202" s="83"/>
      <c r="AE202" s="83"/>
      <c r="AF202" s="83">
        <v>-5.4000000000000003E-3</v>
      </c>
      <c r="AG202" s="83" t="s">
        <v>369</v>
      </c>
      <c r="AH202" s="83" t="s">
        <v>370</v>
      </c>
      <c r="AI202" s="83" t="s">
        <v>86</v>
      </c>
      <c r="AJ202" s="83">
        <v>3.5099999999999999E-2</v>
      </c>
      <c r="AK202" s="83" t="s">
        <v>371</v>
      </c>
      <c r="AL202" s="83" t="s">
        <v>372</v>
      </c>
      <c r="AM202" s="83" t="s">
        <v>86</v>
      </c>
      <c r="AN202" s="83"/>
      <c r="AO202" s="83"/>
      <c r="AP202" s="83">
        <v>-2.0899999999999998E-2</v>
      </c>
      <c r="AQ202" s="83" t="s">
        <v>373</v>
      </c>
      <c r="AR202" s="83" t="s">
        <v>374</v>
      </c>
    </row>
    <row r="203" spans="1:44" x14ac:dyDescent="0.3">
      <c r="A203" s="83" t="s">
        <v>103</v>
      </c>
      <c r="B203" s="83" t="s">
        <v>375</v>
      </c>
      <c r="C203" s="83"/>
      <c r="D203" s="83"/>
      <c r="E203" s="83" t="s">
        <v>103</v>
      </c>
      <c r="F203" s="83" t="s">
        <v>376</v>
      </c>
      <c r="G203" s="83"/>
      <c r="H203" s="83"/>
      <c r="I203" s="83" t="s">
        <v>103</v>
      </c>
      <c r="J203" s="83"/>
      <c r="K203" s="83"/>
      <c r="L203" s="83" t="s">
        <v>377</v>
      </c>
      <c r="M203" s="83"/>
      <c r="N203" s="83"/>
      <c r="O203" s="83" t="s">
        <v>103</v>
      </c>
      <c r="P203" s="83" t="s">
        <v>378</v>
      </c>
      <c r="Q203" s="83"/>
      <c r="R203" s="83"/>
      <c r="S203" s="83" t="s">
        <v>103</v>
      </c>
      <c r="T203" s="83"/>
      <c r="U203" s="83"/>
      <c r="V203" s="83" t="s">
        <v>379</v>
      </c>
      <c r="W203" s="83"/>
      <c r="X203" s="83"/>
      <c r="Y203" s="83" t="s">
        <v>103</v>
      </c>
      <c r="Z203" s="83" t="s">
        <v>380</v>
      </c>
      <c r="AA203" s="83"/>
      <c r="AB203" s="83"/>
      <c r="AC203" s="83" t="s">
        <v>103</v>
      </c>
      <c r="AD203" s="83"/>
      <c r="AE203" s="83"/>
      <c r="AF203" s="83" t="s">
        <v>381</v>
      </c>
      <c r="AG203" s="83"/>
      <c r="AH203" s="83"/>
      <c r="AI203" s="83" t="s">
        <v>103</v>
      </c>
      <c r="AJ203" s="83" t="s">
        <v>382</v>
      </c>
      <c r="AK203" s="83"/>
      <c r="AL203" s="83"/>
      <c r="AM203" s="83" t="s">
        <v>103</v>
      </c>
      <c r="AN203" s="83"/>
      <c r="AO203" s="83"/>
      <c r="AP203" s="83" t="s">
        <v>383</v>
      </c>
      <c r="AQ203" s="83"/>
      <c r="AR203" s="83"/>
    </row>
    <row r="204" spans="1:44" x14ac:dyDescent="0.3">
      <c r="A204" s="83" t="s">
        <v>113</v>
      </c>
      <c r="B204" s="83" t="s">
        <v>384</v>
      </c>
      <c r="C204" s="83"/>
      <c r="D204" s="83"/>
      <c r="E204" s="83" t="s">
        <v>113</v>
      </c>
      <c r="F204" s="83" t="s">
        <v>385</v>
      </c>
      <c r="G204" s="83"/>
      <c r="H204" s="83"/>
      <c r="I204" s="83" t="s">
        <v>113</v>
      </c>
      <c r="J204" s="83"/>
      <c r="K204" s="83"/>
      <c r="L204" s="83" t="s">
        <v>386</v>
      </c>
      <c r="M204" s="83"/>
      <c r="N204" s="83"/>
      <c r="O204" s="83" t="s">
        <v>113</v>
      </c>
      <c r="P204" s="83" t="s">
        <v>387</v>
      </c>
      <c r="Q204" s="83"/>
      <c r="R204" s="83"/>
      <c r="S204" s="83" t="s">
        <v>113</v>
      </c>
      <c r="T204" s="83"/>
      <c r="U204" s="83"/>
      <c r="V204" s="83" t="s">
        <v>388</v>
      </c>
      <c r="W204" s="83"/>
      <c r="X204" s="83"/>
      <c r="Y204" s="83" t="s">
        <v>113</v>
      </c>
      <c r="Z204" s="83" t="s">
        <v>389</v>
      </c>
      <c r="AA204" s="83"/>
      <c r="AB204" s="83"/>
      <c r="AC204" s="83" t="s">
        <v>113</v>
      </c>
      <c r="AD204" s="83"/>
      <c r="AE204" s="83"/>
      <c r="AF204" s="83" t="s">
        <v>390</v>
      </c>
      <c r="AG204" s="83"/>
      <c r="AH204" s="83"/>
      <c r="AI204" s="83" t="s">
        <v>113</v>
      </c>
      <c r="AJ204" s="83" t="s">
        <v>391</v>
      </c>
      <c r="AK204" s="83"/>
      <c r="AL204" s="83"/>
      <c r="AM204" s="83" t="s">
        <v>113</v>
      </c>
      <c r="AN204" s="83"/>
      <c r="AO204" s="83"/>
      <c r="AP204" s="83" t="s">
        <v>392</v>
      </c>
      <c r="AQ204" s="83"/>
      <c r="AR204" s="83"/>
    </row>
    <row r="205" spans="1:44" x14ac:dyDescent="0.3">
      <c r="A205" s="83" t="s">
        <v>123</v>
      </c>
      <c r="B205" s="83" t="s">
        <v>124</v>
      </c>
      <c r="C205" s="83"/>
      <c r="D205" s="83"/>
      <c r="E205" s="83" t="s">
        <v>123</v>
      </c>
      <c r="F205" s="83" t="s">
        <v>124</v>
      </c>
      <c r="G205" s="83"/>
      <c r="H205" s="83"/>
      <c r="I205" s="83" t="s">
        <v>123</v>
      </c>
      <c r="J205" s="83"/>
      <c r="K205" s="83"/>
      <c r="L205" s="83" t="s">
        <v>124</v>
      </c>
      <c r="M205" s="83"/>
      <c r="N205" s="83"/>
      <c r="O205" s="83" t="s">
        <v>123</v>
      </c>
      <c r="P205" s="83" t="s">
        <v>124</v>
      </c>
      <c r="Q205" s="83"/>
      <c r="R205" s="83"/>
      <c r="S205" s="83" t="s">
        <v>123</v>
      </c>
      <c r="T205" s="83"/>
      <c r="U205" s="83"/>
      <c r="V205" s="83" t="s">
        <v>124</v>
      </c>
      <c r="W205" s="83"/>
      <c r="X205" s="83"/>
      <c r="Y205" s="83" t="s">
        <v>123</v>
      </c>
      <c r="Z205" s="83" t="s">
        <v>124</v>
      </c>
      <c r="AA205" s="83"/>
      <c r="AB205" s="83"/>
      <c r="AC205" s="83" t="s">
        <v>123</v>
      </c>
      <c r="AD205" s="83"/>
      <c r="AE205" s="83"/>
      <c r="AF205" s="83" t="s">
        <v>124</v>
      </c>
      <c r="AG205" s="83"/>
      <c r="AH205" s="83"/>
      <c r="AI205" s="83" t="s">
        <v>123</v>
      </c>
      <c r="AJ205" s="83" t="s">
        <v>124</v>
      </c>
      <c r="AK205" s="83"/>
      <c r="AL205" s="83"/>
      <c r="AM205" s="83" t="s">
        <v>123</v>
      </c>
      <c r="AN205" s="83"/>
      <c r="AO205" s="83"/>
      <c r="AP205" s="83" t="s">
        <v>124</v>
      </c>
      <c r="AQ205" s="83"/>
      <c r="AR205" s="83"/>
    </row>
    <row r="222" spans="1:44" x14ac:dyDescent="0.3">
      <c r="A222" s="92" t="s">
        <v>393</v>
      </c>
      <c r="B222" s="92"/>
      <c r="C222" s="92"/>
      <c r="D222" s="92"/>
      <c r="E222" s="92" t="s">
        <v>394</v>
      </c>
      <c r="F222" s="92"/>
      <c r="G222" s="92"/>
      <c r="H222" s="92"/>
      <c r="I222" s="92" t="s">
        <v>395</v>
      </c>
      <c r="J222" s="92"/>
      <c r="K222" s="92"/>
      <c r="L222" s="92"/>
      <c r="M222" s="92"/>
      <c r="N222" s="92"/>
      <c r="O222" s="92" t="s">
        <v>396</v>
      </c>
      <c r="P222" s="92"/>
      <c r="Q222" s="92"/>
      <c r="R222" s="92"/>
      <c r="S222" s="92" t="s">
        <v>397</v>
      </c>
      <c r="T222" s="92"/>
      <c r="U222" s="92"/>
      <c r="V222" s="92"/>
      <c r="W222" s="92"/>
      <c r="X222" s="92"/>
      <c r="Y222" s="92" t="s">
        <v>398</v>
      </c>
      <c r="Z222" s="92"/>
      <c r="AA222" s="92"/>
      <c r="AB222" s="92"/>
      <c r="AC222" s="92" t="s">
        <v>399</v>
      </c>
      <c r="AD222" s="92"/>
      <c r="AE222" s="92"/>
      <c r="AF222" s="92"/>
      <c r="AG222" s="92"/>
      <c r="AH222" s="92"/>
      <c r="AI222" s="92" t="s">
        <v>400</v>
      </c>
      <c r="AJ222" s="92"/>
      <c r="AK222" s="92"/>
      <c r="AL222" s="92"/>
      <c r="AM222" s="92" t="s">
        <v>401</v>
      </c>
      <c r="AN222" s="92"/>
      <c r="AO222" s="92"/>
      <c r="AP222" s="92"/>
      <c r="AQ222" s="92"/>
      <c r="AR222" s="92"/>
    </row>
    <row r="223" spans="1:44" x14ac:dyDescent="0.3">
      <c r="A223" s="83" t="s">
        <v>41</v>
      </c>
      <c r="B223" s="83" t="s">
        <v>42</v>
      </c>
      <c r="C223" s="83" t="s">
        <v>43</v>
      </c>
      <c r="D223" s="83" t="s">
        <v>44</v>
      </c>
      <c r="E223" s="83" t="s">
        <v>41</v>
      </c>
      <c r="F223" s="83" t="s">
        <v>42</v>
      </c>
      <c r="G223" s="83" t="s">
        <v>43</v>
      </c>
      <c r="H223" s="83" t="s">
        <v>44</v>
      </c>
      <c r="I223" s="83" t="s">
        <v>41</v>
      </c>
      <c r="J223" s="83"/>
      <c r="K223" s="83"/>
      <c r="L223" s="83" t="s">
        <v>42</v>
      </c>
      <c r="M223" s="83" t="s">
        <v>43</v>
      </c>
      <c r="N223" s="83" t="s">
        <v>44</v>
      </c>
      <c r="O223" s="83" t="s">
        <v>41</v>
      </c>
      <c r="P223" s="83" t="s">
        <v>42</v>
      </c>
      <c r="Q223" s="83" t="s">
        <v>43</v>
      </c>
      <c r="R223" s="83" t="s">
        <v>44</v>
      </c>
      <c r="S223" s="83" t="s">
        <v>41</v>
      </c>
      <c r="T223" s="83"/>
      <c r="U223" s="83"/>
      <c r="V223" s="83" t="s">
        <v>42</v>
      </c>
      <c r="W223" s="83" t="s">
        <v>43</v>
      </c>
      <c r="X223" s="83" t="s">
        <v>44</v>
      </c>
      <c r="Y223" s="83" t="s">
        <v>41</v>
      </c>
      <c r="Z223" s="83" t="s">
        <v>42</v>
      </c>
      <c r="AA223" s="83" t="s">
        <v>43</v>
      </c>
      <c r="AB223" s="83" t="s">
        <v>44</v>
      </c>
      <c r="AC223" s="83" t="s">
        <v>41</v>
      </c>
      <c r="AD223" s="83"/>
      <c r="AE223" s="83"/>
      <c r="AF223" s="83" t="s">
        <v>42</v>
      </c>
      <c r="AG223" s="83" t="s">
        <v>43</v>
      </c>
      <c r="AH223" s="83" t="s">
        <v>44</v>
      </c>
      <c r="AI223" s="83" t="s">
        <v>41</v>
      </c>
      <c r="AJ223" s="83" t="s">
        <v>42</v>
      </c>
      <c r="AK223" s="83" t="s">
        <v>43</v>
      </c>
      <c r="AL223" s="83" t="s">
        <v>44</v>
      </c>
      <c r="AM223" s="83" t="s">
        <v>41</v>
      </c>
      <c r="AN223" s="83"/>
      <c r="AO223" s="83"/>
      <c r="AP223" s="83" t="s">
        <v>42</v>
      </c>
      <c r="AQ223" s="83" t="s">
        <v>43</v>
      </c>
      <c r="AR223" s="83" t="s">
        <v>44</v>
      </c>
    </row>
    <row r="224" spans="1:44" x14ac:dyDescent="0.3">
      <c r="A224" s="83" t="s">
        <v>45</v>
      </c>
      <c r="B224" s="83">
        <v>1</v>
      </c>
      <c r="C224" s="83">
        <v>2.3400000000000001E-2</v>
      </c>
      <c r="D224" s="83">
        <v>2.3400000000000001E-2</v>
      </c>
      <c r="E224" s="83" t="s">
        <v>45</v>
      </c>
      <c r="F224" s="83">
        <v>1</v>
      </c>
      <c r="G224" s="83">
        <v>5.1000000000000004E-3</v>
      </c>
      <c r="H224" s="83">
        <v>5.1000000000000004E-3</v>
      </c>
      <c r="I224" s="83" t="s">
        <v>45</v>
      </c>
      <c r="J224" s="83"/>
      <c r="K224" s="83"/>
      <c r="L224" s="83">
        <v>1</v>
      </c>
      <c r="M224" s="83">
        <v>9.2899999999999996E-2</v>
      </c>
      <c r="N224" s="83">
        <v>9.2899999999999996E-2</v>
      </c>
      <c r="O224" s="83" t="s">
        <v>45</v>
      </c>
      <c r="P224" s="83">
        <v>1</v>
      </c>
      <c r="Q224" s="83">
        <v>1.8016000000000001</v>
      </c>
      <c r="R224" s="83">
        <v>1.8016000000000001</v>
      </c>
      <c r="S224" s="83" t="s">
        <v>45</v>
      </c>
      <c r="T224" s="83"/>
      <c r="U224" s="83"/>
      <c r="V224" s="83">
        <v>1</v>
      </c>
      <c r="W224" s="83">
        <v>7.0400000000000004E-2</v>
      </c>
      <c r="X224" s="83">
        <v>7.0400000000000004E-2</v>
      </c>
      <c r="Y224" s="83" t="s">
        <v>45</v>
      </c>
      <c r="Z224" s="83">
        <v>1</v>
      </c>
      <c r="AA224" s="83">
        <v>0.1193</v>
      </c>
      <c r="AB224" s="83">
        <v>0.1193</v>
      </c>
      <c r="AC224" s="83" t="s">
        <v>45</v>
      </c>
      <c r="AD224" s="83"/>
      <c r="AE224" s="83"/>
      <c r="AF224" s="83">
        <v>1</v>
      </c>
      <c r="AG224" s="83">
        <v>21.5063</v>
      </c>
      <c r="AH224" s="83">
        <v>21.5063</v>
      </c>
      <c r="AI224" s="83" t="s">
        <v>45</v>
      </c>
      <c r="AJ224" s="83">
        <v>1</v>
      </c>
      <c r="AK224" s="83">
        <v>3.5663</v>
      </c>
      <c r="AL224" s="83">
        <v>3.5663</v>
      </c>
      <c r="AM224" s="83" t="s">
        <v>45</v>
      </c>
      <c r="AN224" s="83"/>
      <c r="AO224" s="83"/>
      <c r="AP224" s="83">
        <v>1</v>
      </c>
      <c r="AQ224" s="83">
        <v>1.9E-3</v>
      </c>
      <c r="AR224" s="83">
        <v>1.9E-3</v>
      </c>
    </row>
    <row r="225" spans="1:44" x14ac:dyDescent="0.3">
      <c r="A225" s="83" t="s">
        <v>46</v>
      </c>
      <c r="B225" s="83">
        <v>4</v>
      </c>
      <c r="C225" s="83">
        <v>0.42709999999999998</v>
      </c>
      <c r="D225" s="83">
        <v>0.10680000000000001</v>
      </c>
      <c r="E225" s="83" t="s">
        <v>46</v>
      </c>
      <c r="F225" s="83">
        <v>4</v>
      </c>
      <c r="G225" s="83">
        <v>0.45579999999999998</v>
      </c>
      <c r="H225" s="83">
        <v>0.1139</v>
      </c>
      <c r="I225" s="83" t="s">
        <v>46</v>
      </c>
      <c r="J225" s="83"/>
      <c r="K225" s="83"/>
      <c r="L225" s="83">
        <v>4</v>
      </c>
      <c r="M225" s="83">
        <v>0.7198</v>
      </c>
      <c r="N225" s="83">
        <v>0.1799</v>
      </c>
      <c r="O225" s="83" t="s">
        <v>46</v>
      </c>
      <c r="P225" s="83">
        <v>4</v>
      </c>
      <c r="Q225" s="83">
        <v>29.159300000000002</v>
      </c>
      <c r="R225" s="83">
        <v>7.2897999999999996</v>
      </c>
      <c r="S225" s="83" t="s">
        <v>46</v>
      </c>
      <c r="T225" s="83"/>
      <c r="U225" s="83"/>
      <c r="V225" s="83">
        <v>4</v>
      </c>
      <c r="W225" s="83">
        <v>1.4442999999999999</v>
      </c>
      <c r="X225" s="83">
        <v>0.36109999999999998</v>
      </c>
      <c r="Y225" s="83" t="s">
        <v>46</v>
      </c>
      <c r="Z225" s="83">
        <v>4</v>
      </c>
      <c r="AA225" s="83">
        <v>0.87519999999999998</v>
      </c>
      <c r="AB225" s="83">
        <v>0.21879999999999999</v>
      </c>
      <c r="AC225" s="83" t="s">
        <v>46</v>
      </c>
      <c r="AD225" s="83"/>
      <c r="AE225" s="83"/>
      <c r="AF225" s="83">
        <v>4</v>
      </c>
      <c r="AG225" s="83">
        <v>8.8497000000000003</v>
      </c>
      <c r="AH225" s="83">
        <v>2.2124000000000001</v>
      </c>
      <c r="AI225" s="83" t="s">
        <v>46</v>
      </c>
      <c r="AJ225" s="83">
        <v>4</v>
      </c>
      <c r="AK225" s="83">
        <v>22.028600000000001</v>
      </c>
      <c r="AL225" s="83">
        <v>5.5072000000000001</v>
      </c>
      <c r="AM225" s="83" t="s">
        <v>46</v>
      </c>
      <c r="AN225" s="83"/>
      <c r="AO225" s="83"/>
      <c r="AP225" s="83">
        <v>4</v>
      </c>
      <c r="AQ225" s="83">
        <v>2.5198999999999998</v>
      </c>
      <c r="AR225" s="83">
        <v>0.63</v>
      </c>
    </row>
    <row r="226" spans="1:44" x14ac:dyDescent="0.3">
      <c r="A226" s="83" t="s">
        <v>47</v>
      </c>
      <c r="B226" s="83">
        <v>5</v>
      </c>
      <c r="C226" s="83">
        <v>0.45050000000000001</v>
      </c>
      <c r="D226" s="83" t="s">
        <v>48</v>
      </c>
      <c r="E226" s="83" t="s">
        <v>47</v>
      </c>
      <c r="F226" s="83">
        <v>5</v>
      </c>
      <c r="G226" s="83">
        <v>0.46089999999999998</v>
      </c>
      <c r="H226" s="83" t="s">
        <v>48</v>
      </c>
      <c r="I226" s="83" t="s">
        <v>47</v>
      </c>
      <c r="J226" s="83"/>
      <c r="K226" s="83"/>
      <c r="L226" s="83">
        <v>5</v>
      </c>
      <c r="M226" s="83">
        <v>0.81269999999999998</v>
      </c>
      <c r="N226" s="83" t="s">
        <v>48</v>
      </c>
      <c r="O226" s="83" t="s">
        <v>47</v>
      </c>
      <c r="P226" s="83">
        <v>5</v>
      </c>
      <c r="Q226" s="83">
        <v>30.960899999999999</v>
      </c>
      <c r="R226" s="83" t="s">
        <v>48</v>
      </c>
      <c r="S226" s="83" t="s">
        <v>47</v>
      </c>
      <c r="T226" s="83"/>
      <c r="U226" s="83"/>
      <c r="V226" s="83">
        <v>5</v>
      </c>
      <c r="W226" s="83">
        <v>1.5146999999999999</v>
      </c>
      <c r="X226" s="83" t="s">
        <v>48</v>
      </c>
      <c r="Y226" s="83" t="s">
        <v>47</v>
      </c>
      <c r="Z226" s="83">
        <v>5</v>
      </c>
      <c r="AA226" s="83">
        <v>0.99450000000000005</v>
      </c>
      <c r="AB226" s="83" t="s">
        <v>48</v>
      </c>
      <c r="AC226" s="83" t="s">
        <v>47</v>
      </c>
      <c r="AD226" s="83"/>
      <c r="AE226" s="83"/>
      <c r="AF226" s="83">
        <v>5</v>
      </c>
      <c r="AG226" s="83">
        <v>30.356000000000002</v>
      </c>
      <c r="AH226" s="83" t="s">
        <v>48</v>
      </c>
      <c r="AI226" s="83" t="s">
        <v>47</v>
      </c>
      <c r="AJ226" s="83">
        <v>5</v>
      </c>
      <c r="AK226" s="83">
        <v>25.594899999999999</v>
      </c>
      <c r="AL226" s="83" t="s">
        <v>48</v>
      </c>
      <c r="AM226" s="83" t="s">
        <v>47</v>
      </c>
      <c r="AN226" s="83"/>
      <c r="AO226" s="83"/>
      <c r="AP226" s="83">
        <v>5</v>
      </c>
      <c r="AQ226" s="83">
        <v>2.5217999999999998</v>
      </c>
      <c r="AR226" s="83" t="s">
        <v>48</v>
      </c>
    </row>
    <row r="227" spans="1:44" x14ac:dyDescent="0.3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</row>
    <row r="228" spans="1:44" x14ac:dyDescent="0.3">
      <c r="A228" s="83" t="s">
        <v>49</v>
      </c>
      <c r="B228" s="83">
        <v>0.21920000000000001</v>
      </c>
      <c r="C228" s="83" t="s">
        <v>402</v>
      </c>
      <c r="D228" s="83"/>
      <c r="E228" s="83" t="s">
        <v>49</v>
      </c>
      <c r="F228" s="83">
        <v>4.5100000000000001E-2</v>
      </c>
      <c r="G228" s="83" t="s">
        <v>403</v>
      </c>
      <c r="H228" s="83"/>
      <c r="I228" s="83" t="s">
        <v>49</v>
      </c>
      <c r="J228" s="83"/>
      <c r="K228" s="83"/>
      <c r="L228" s="83">
        <v>0.51619999999999999</v>
      </c>
      <c r="M228" s="83" t="s">
        <v>140</v>
      </c>
      <c r="N228" s="83"/>
      <c r="O228" s="83" t="s">
        <v>49</v>
      </c>
      <c r="P228" s="83">
        <v>0.24709999999999999</v>
      </c>
      <c r="Q228" s="83" t="s">
        <v>404</v>
      </c>
      <c r="R228" s="83"/>
      <c r="S228" s="83" t="s">
        <v>49</v>
      </c>
      <c r="T228" s="83"/>
      <c r="U228" s="83"/>
      <c r="V228" s="83">
        <v>0.19500000000000001</v>
      </c>
      <c r="W228" s="83" t="s">
        <v>405</v>
      </c>
      <c r="X228" s="83"/>
      <c r="Y228" s="83" t="s">
        <v>49</v>
      </c>
      <c r="Z228" s="83">
        <v>0.54530000000000001</v>
      </c>
      <c r="AA228" s="83" t="s">
        <v>406</v>
      </c>
      <c r="AB228" s="83"/>
      <c r="AC228" s="83" t="s">
        <v>49</v>
      </c>
      <c r="AD228" s="83"/>
      <c r="AE228" s="83"/>
      <c r="AF228" s="83">
        <v>9.7207000000000008</v>
      </c>
      <c r="AG228" s="83" t="s">
        <v>407</v>
      </c>
      <c r="AH228" s="83"/>
      <c r="AI228" s="83" t="s">
        <v>49</v>
      </c>
      <c r="AJ228" s="83">
        <v>0.64759999999999995</v>
      </c>
      <c r="AK228" s="83" t="s">
        <v>408</v>
      </c>
      <c r="AL228" s="83"/>
      <c r="AM228" s="83" t="s">
        <v>49</v>
      </c>
      <c r="AN228" s="83"/>
      <c r="AO228" s="83"/>
      <c r="AP228" s="83">
        <v>2.8999999999999998E-3</v>
      </c>
      <c r="AQ228" s="83" t="s">
        <v>409</v>
      </c>
      <c r="AR228" s="83"/>
    </row>
    <row r="229" spans="1:44" x14ac:dyDescent="0.3">
      <c r="A229" s="83" t="s">
        <v>59</v>
      </c>
      <c r="B229" s="83" t="s">
        <v>61</v>
      </c>
      <c r="C229" s="83"/>
      <c r="D229" s="83"/>
      <c r="E229" s="83" t="s">
        <v>59</v>
      </c>
      <c r="F229" s="83" t="s">
        <v>61</v>
      </c>
      <c r="G229" s="83"/>
      <c r="H229" s="83"/>
      <c r="I229" s="83" t="s">
        <v>59</v>
      </c>
      <c r="J229" s="83"/>
      <c r="K229" s="83"/>
      <c r="L229" s="83" t="s">
        <v>61</v>
      </c>
      <c r="M229" s="83"/>
      <c r="N229" s="83"/>
      <c r="O229" s="83" t="s">
        <v>59</v>
      </c>
      <c r="P229" s="83" t="s">
        <v>61</v>
      </c>
      <c r="Q229" s="83"/>
      <c r="R229" s="83"/>
      <c r="S229" s="83" t="s">
        <v>59</v>
      </c>
      <c r="T229" s="83"/>
      <c r="U229" s="83"/>
      <c r="V229" s="83" t="s">
        <v>61</v>
      </c>
      <c r="W229" s="83"/>
      <c r="X229" s="83"/>
      <c r="Y229" s="83" t="s">
        <v>59</v>
      </c>
      <c r="Z229" s="83" t="s">
        <v>61</v>
      </c>
      <c r="AA229" s="83"/>
      <c r="AB229" s="83"/>
      <c r="AC229" s="83" t="s">
        <v>59</v>
      </c>
      <c r="AD229" s="83"/>
      <c r="AE229" s="83"/>
      <c r="AF229" s="83" t="s">
        <v>61</v>
      </c>
      <c r="AG229" s="83"/>
      <c r="AH229" s="83"/>
      <c r="AI229" s="83" t="s">
        <v>59</v>
      </c>
      <c r="AJ229" s="83" t="s">
        <v>61</v>
      </c>
      <c r="AK229" s="83"/>
      <c r="AL229" s="83"/>
      <c r="AM229" s="83" t="s">
        <v>59</v>
      </c>
      <c r="AN229" s="83"/>
      <c r="AO229" s="83"/>
      <c r="AP229" s="83" t="s">
        <v>61</v>
      </c>
      <c r="AQ229" s="83"/>
      <c r="AR229" s="83"/>
    </row>
    <row r="230" spans="1:44" x14ac:dyDescent="0.3">
      <c r="A230" s="83" t="s">
        <v>62</v>
      </c>
      <c r="B230" s="83" t="s">
        <v>64</v>
      </c>
      <c r="C230" s="83"/>
      <c r="D230" s="83"/>
      <c r="E230" s="83" t="s">
        <v>62</v>
      </c>
      <c r="F230" s="83" t="s">
        <v>64</v>
      </c>
      <c r="G230" s="83"/>
      <c r="H230" s="83"/>
      <c r="I230" s="83" t="s">
        <v>62</v>
      </c>
      <c r="J230" s="83"/>
      <c r="K230" s="83"/>
      <c r="L230" s="83" t="s">
        <v>64</v>
      </c>
      <c r="M230" s="83"/>
      <c r="N230" s="83"/>
      <c r="O230" s="83" t="s">
        <v>62</v>
      </c>
      <c r="P230" s="83" t="s">
        <v>64</v>
      </c>
      <c r="Q230" s="83"/>
      <c r="R230" s="83"/>
      <c r="S230" s="83" t="s">
        <v>62</v>
      </c>
      <c r="T230" s="83"/>
      <c r="U230" s="83"/>
      <c r="V230" s="83" t="s">
        <v>64</v>
      </c>
      <c r="W230" s="83"/>
      <c r="X230" s="83"/>
      <c r="Y230" s="83" t="s">
        <v>62</v>
      </c>
      <c r="Z230" s="83" t="s">
        <v>64</v>
      </c>
      <c r="AA230" s="83"/>
      <c r="AB230" s="83"/>
      <c r="AC230" s="83" t="s">
        <v>62</v>
      </c>
      <c r="AD230" s="83"/>
      <c r="AE230" s="83"/>
      <c r="AF230" s="83" t="s">
        <v>64</v>
      </c>
      <c r="AG230" s="83"/>
      <c r="AH230" s="83"/>
      <c r="AI230" s="83" t="s">
        <v>62</v>
      </c>
      <c r="AJ230" s="83" t="s">
        <v>64</v>
      </c>
      <c r="AK230" s="83"/>
      <c r="AL230" s="83"/>
      <c r="AM230" s="83" t="s">
        <v>62</v>
      </c>
      <c r="AN230" s="83"/>
      <c r="AO230" s="83"/>
      <c r="AP230" s="83" t="s">
        <v>64</v>
      </c>
      <c r="AQ230" s="83"/>
      <c r="AR230" s="83"/>
    </row>
    <row r="231" spans="1:44" x14ac:dyDescent="0.3">
      <c r="A231" s="83" t="s">
        <v>65</v>
      </c>
      <c r="B231" s="83">
        <v>3.5</v>
      </c>
      <c r="C231" s="83"/>
      <c r="D231" s="83"/>
      <c r="E231" s="83" t="s">
        <v>65</v>
      </c>
      <c r="F231" s="83">
        <v>3.5</v>
      </c>
      <c r="G231" s="83"/>
      <c r="H231" s="83"/>
      <c r="I231" s="83" t="s">
        <v>65</v>
      </c>
      <c r="J231" s="83"/>
      <c r="K231" s="83"/>
      <c r="L231" s="83">
        <v>3.5</v>
      </c>
      <c r="M231" s="83"/>
      <c r="N231" s="83"/>
      <c r="O231" s="83" t="s">
        <v>65</v>
      </c>
      <c r="P231" s="83">
        <v>3.5</v>
      </c>
      <c r="Q231" s="83"/>
      <c r="R231" s="83"/>
      <c r="S231" s="83" t="s">
        <v>65</v>
      </c>
      <c r="T231" s="83"/>
      <c r="U231" s="83"/>
      <c r="V231" s="83">
        <v>3.5</v>
      </c>
      <c r="W231" s="83"/>
      <c r="X231" s="83"/>
      <c r="Y231" s="83" t="s">
        <v>65</v>
      </c>
      <c r="Z231" s="83">
        <v>3.5</v>
      </c>
      <c r="AA231" s="83"/>
      <c r="AB231" s="83"/>
      <c r="AC231" s="83" t="s">
        <v>65</v>
      </c>
      <c r="AD231" s="83"/>
      <c r="AE231" s="83"/>
      <c r="AF231" s="83">
        <v>3.5</v>
      </c>
      <c r="AG231" s="83"/>
      <c r="AH231" s="83"/>
      <c r="AI231" s="83" t="s">
        <v>65</v>
      </c>
      <c r="AJ231" s="83">
        <v>3.5</v>
      </c>
      <c r="AK231" s="83"/>
      <c r="AL231" s="83"/>
      <c r="AM231" s="83" t="s">
        <v>65</v>
      </c>
      <c r="AN231" s="83"/>
      <c r="AO231" s="83"/>
      <c r="AP231" s="83">
        <v>3.5</v>
      </c>
      <c r="AQ231" s="83"/>
      <c r="AR231" s="83"/>
    </row>
    <row r="232" spans="1:44" x14ac:dyDescent="0.3">
      <c r="A232" s="83" t="s">
        <v>66</v>
      </c>
      <c r="B232" s="83">
        <v>0.85329999999999995</v>
      </c>
      <c r="C232" s="83"/>
      <c r="D232" s="83"/>
      <c r="E232" s="83" t="s">
        <v>66</v>
      </c>
      <c r="F232" s="83">
        <v>1.0867</v>
      </c>
      <c r="G232" s="83"/>
      <c r="H232" s="83"/>
      <c r="I232" s="83" t="s">
        <v>66</v>
      </c>
      <c r="J232" s="83"/>
      <c r="K232" s="83"/>
      <c r="L232" s="83">
        <v>0.52829999999999999</v>
      </c>
      <c r="M232" s="83"/>
      <c r="N232" s="83"/>
      <c r="O232" s="83" t="s">
        <v>66</v>
      </c>
      <c r="P232" s="83">
        <v>-0.2417</v>
      </c>
      <c r="Q232" s="83"/>
      <c r="R232" s="83"/>
      <c r="S232" s="83" t="s">
        <v>66</v>
      </c>
      <c r="T232" s="83"/>
      <c r="U232" s="83"/>
      <c r="V232" s="83">
        <v>3.7033</v>
      </c>
      <c r="W232" s="83"/>
      <c r="X232" s="83"/>
      <c r="Y232" s="83" t="s">
        <v>66</v>
      </c>
      <c r="Z232" s="83">
        <v>5.4649999999999999</v>
      </c>
      <c r="AA232" s="83"/>
      <c r="AB232" s="83"/>
      <c r="AC232" s="83" t="s">
        <v>66</v>
      </c>
      <c r="AD232" s="83"/>
      <c r="AE232" s="83"/>
      <c r="AF232" s="83">
        <v>0.46</v>
      </c>
      <c r="AG232" s="83"/>
      <c r="AH232" s="83"/>
      <c r="AI232" s="83" t="s">
        <v>66</v>
      </c>
      <c r="AJ232" s="83">
        <v>2.6566999999999998</v>
      </c>
      <c r="AK232" s="83"/>
      <c r="AL232" s="83"/>
      <c r="AM232" s="83" t="s">
        <v>66</v>
      </c>
      <c r="AN232" s="83"/>
      <c r="AO232" s="83"/>
      <c r="AP232" s="83">
        <v>4.6900000000000004</v>
      </c>
      <c r="AQ232" s="83"/>
      <c r="AR232" s="83"/>
    </row>
    <row r="233" spans="1:44" x14ac:dyDescent="0.3">
      <c r="A233" s="83" t="s">
        <v>67</v>
      </c>
      <c r="B233" s="83">
        <v>5.1999999999999998E-2</v>
      </c>
      <c r="C233" s="83"/>
      <c r="D233" s="83"/>
      <c r="E233" s="83" t="s">
        <v>67</v>
      </c>
      <c r="F233" s="83">
        <v>1.12E-2</v>
      </c>
      <c r="G233" s="83"/>
      <c r="H233" s="83"/>
      <c r="I233" s="83" t="s">
        <v>67</v>
      </c>
      <c r="J233" s="83"/>
      <c r="K233" s="83"/>
      <c r="L233" s="83">
        <v>0.1143</v>
      </c>
      <c r="M233" s="83"/>
      <c r="N233" s="83"/>
      <c r="O233" s="83" t="s">
        <v>67</v>
      </c>
      <c r="P233" s="83">
        <v>5.8200000000000002E-2</v>
      </c>
      <c r="Q233" s="83"/>
      <c r="R233" s="83"/>
      <c r="S233" s="83" t="s">
        <v>67</v>
      </c>
      <c r="T233" s="83"/>
      <c r="U233" s="83"/>
      <c r="V233" s="83">
        <v>4.65E-2</v>
      </c>
      <c r="W233" s="83"/>
      <c r="X233" s="83"/>
      <c r="Y233" s="83" t="s">
        <v>67</v>
      </c>
      <c r="Z233" s="83">
        <v>0.12</v>
      </c>
      <c r="AA233" s="83"/>
      <c r="AB233" s="83"/>
      <c r="AC233" s="83" t="s">
        <v>67</v>
      </c>
      <c r="AD233" s="83"/>
      <c r="AE233" s="83"/>
      <c r="AF233" s="83">
        <v>0.70850000000000002</v>
      </c>
      <c r="AG233" s="83"/>
      <c r="AH233" s="83"/>
      <c r="AI233" s="83" t="s">
        <v>67</v>
      </c>
      <c r="AJ233" s="83">
        <v>0.13930000000000001</v>
      </c>
      <c r="AK233" s="83"/>
      <c r="AL233" s="83"/>
      <c r="AM233" s="83" t="s">
        <v>67</v>
      </c>
      <c r="AN233" s="83"/>
      <c r="AO233" s="83"/>
      <c r="AP233" s="83">
        <v>6.9999999999999999E-4</v>
      </c>
      <c r="AQ233" s="83"/>
      <c r="AR233" s="83"/>
    </row>
    <row r="234" spans="1:44" x14ac:dyDescent="0.3">
      <c r="A234" s="83" t="s">
        <v>68</v>
      </c>
      <c r="B234" s="83">
        <v>-0.18509999999999999</v>
      </c>
      <c r="C234" s="83"/>
      <c r="D234" s="83"/>
      <c r="E234" s="83" t="s">
        <v>68</v>
      </c>
      <c r="F234" s="83">
        <v>-0.2361</v>
      </c>
      <c r="G234" s="83"/>
      <c r="H234" s="83"/>
      <c r="I234" s="83" t="s">
        <v>68</v>
      </c>
      <c r="J234" s="83"/>
      <c r="K234" s="83"/>
      <c r="L234" s="83">
        <v>-0.1071</v>
      </c>
      <c r="M234" s="83"/>
      <c r="N234" s="83"/>
      <c r="O234" s="83" t="s">
        <v>68</v>
      </c>
      <c r="P234" s="83">
        <v>-0.17730000000000001</v>
      </c>
      <c r="Q234" s="83"/>
      <c r="R234" s="83"/>
      <c r="S234" s="83" t="s">
        <v>68</v>
      </c>
      <c r="T234" s="83"/>
      <c r="U234" s="83"/>
      <c r="V234" s="83">
        <v>-0.19189999999999999</v>
      </c>
      <c r="W234" s="83"/>
      <c r="X234" s="83"/>
      <c r="Y234" s="83" t="s">
        <v>68</v>
      </c>
      <c r="Z234" s="83">
        <v>-0.1</v>
      </c>
      <c r="AA234" s="83"/>
      <c r="AB234" s="83"/>
      <c r="AC234" s="83" t="s">
        <v>68</v>
      </c>
      <c r="AD234" s="83"/>
      <c r="AE234" s="83"/>
      <c r="AF234" s="83">
        <v>0.63560000000000005</v>
      </c>
      <c r="AG234" s="83"/>
      <c r="AH234" s="83"/>
      <c r="AI234" s="83" t="s">
        <v>68</v>
      </c>
      <c r="AJ234" s="83">
        <v>-7.5800000000000006E-2</v>
      </c>
      <c r="AK234" s="83"/>
      <c r="AL234" s="83"/>
      <c r="AM234" s="83" t="s">
        <v>68</v>
      </c>
      <c r="AN234" s="83"/>
      <c r="AO234" s="83"/>
      <c r="AP234" s="83">
        <v>-0.24909999999999999</v>
      </c>
      <c r="AQ234" s="83"/>
      <c r="AR234" s="83"/>
    </row>
    <row r="235" spans="1:44" x14ac:dyDescent="0.3">
      <c r="A235" s="83" t="s">
        <v>69</v>
      </c>
      <c r="B235" s="83">
        <v>0.22789999999999999</v>
      </c>
      <c r="C235" s="83"/>
      <c r="D235" s="83"/>
      <c r="E235" s="83" t="s">
        <v>69</v>
      </c>
      <c r="F235" s="83">
        <v>0.1056</v>
      </c>
      <c r="G235" s="83"/>
      <c r="H235" s="83"/>
      <c r="I235" s="83" t="s">
        <v>69</v>
      </c>
      <c r="J235" s="83"/>
      <c r="K235" s="83"/>
      <c r="L235" s="83">
        <v>0.33810000000000001</v>
      </c>
      <c r="M235" s="83"/>
      <c r="N235" s="83"/>
      <c r="O235" s="83" t="s">
        <v>69</v>
      </c>
      <c r="P235" s="83">
        <v>0.2412</v>
      </c>
      <c r="Q235" s="83"/>
      <c r="R235" s="83"/>
      <c r="S235" s="83" t="s">
        <v>69</v>
      </c>
      <c r="T235" s="83"/>
      <c r="U235" s="83"/>
      <c r="V235" s="83">
        <v>0.21560000000000001</v>
      </c>
      <c r="W235" s="83"/>
      <c r="X235" s="83"/>
      <c r="Y235" s="83" t="s">
        <v>69</v>
      </c>
      <c r="Z235" s="83">
        <v>0.34639999999999999</v>
      </c>
      <c r="AA235" s="83"/>
      <c r="AB235" s="83"/>
      <c r="AC235" s="83" t="s">
        <v>69</v>
      </c>
      <c r="AD235" s="83"/>
      <c r="AE235" s="83"/>
      <c r="AF235" s="83">
        <v>0.8417</v>
      </c>
      <c r="AG235" s="83"/>
      <c r="AH235" s="83"/>
      <c r="AI235" s="83" t="s">
        <v>69</v>
      </c>
      <c r="AJ235" s="83">
        <v>0.37330000000000002</v>
      </c>
      <c r="AK235" s="83"/>
      <c r="AL235" s="83"/>
      <c r="AM235" s="83" t="s">
        <v>69</v>
      </c>
      <c r="AN235" s="83"/>
      <c r="AO235" s="83"/>
      <c r="AP235" s="83">
        <v>2.7099999999999999E-2</v>
      </c>
      <c r="AQ235" s="83"/>
      <c r="AR235" s="83"/>
    </row>
    <row r="236" spans="1:44" x14ac:dyDescent="0.3">
      <c r="A236" s="83" t="s">
        <v>70</v>
      </c>
      <c r="B236" s="83">
        <v>0.98129999999999995</v>
      </c>
      <c r="C236" s="83" t="s">
        <v>410</v>
      </c>
      <c r="D236" s="83" t="s">
        <v>411</v>
      </c>
      <c r="E236" s="83" t="s">
        <v>70</v>
      </c>
      <c r="F236" s="83">
        <v>1.1467000000000001</v>
      </c>
      <c r="G236" s="83" t="s">
        <v>412</v>
      </c>
      <c r="H236" s="83" t="s">
        <v>413</v>
      </c>
      <c r="I236" s="83" t="s">
        <v>70</v>
      </c>
      <c r="J236" s="83"/>
      <c r="K236" s="83"/>
      <c r="L236" s="83">
        <v>0.7833</v>
      </c>
      <c r="M236" s="83" t="s">
        <v>414</v>
      </c>
      <c r="N236" s="83" t="s">
        <v>415</v>
      </c>
      <c r="O236" s="83" t="s">
        <v>70</v>
      </c>
      <c r="P236" s="83">
        <v>-1.3647</v>
      </c>
      <c r="Q236" s="83" t="s">
        <v>416</v>
      </c>
      <c r="R236" s="83" t="s">
        <v>417</v>
      </c>
      <c r="S236" s="83" t="s">
        <v>70</v>
      </c>
      <c r="T236" s="83"/>
      <c r="U236" s="83"/>
      <c r="V236" s="83">
        <v>3.9253</v>
      </c>
      <c r="W236" s="83" t="s">
        <v>418</v>
      </c>
      <c r="X236" s="83" t="s">
        <v>80</v>
      </c>
      <c r="Y236" s="83" t="s">
        <v>70</v>
      </c>
      <c r="Z236" s="83">
        <v>5.7539999999999996</v>
      </c>
      <c r="AA236" s="83" t="s">
        <v>419</v>
      </c>
      <c r="AB236" s="83" t="s">
        <v>78</v>
      </c>
      <c r="AC236" s="83" t="s">
        <v>70</v>
      </c>
      <c r="AD236" s="83"/>
      <c r="AE236" s="83"/>
      <c r="AF236" s="83">
        <v>4.34</v>
      </c>
      <c r="AG236" s="83" t="s">
        <v>420</v>
      </c>
      <c r="AH236" s="83" t="s">
        <v>421</v>
      </c>
      <c r="AI236" s="83" t="s">
        <v>70</v>
      </c>
      <c r="AJ236" s="83">
        <v>4.2366999999999999</v>
      </c>
      <c r="AK236" s="83" t="s">
        <v>422</v>
      </c>
      <c r="AL236" s="83" t="s">
        <v>423</v>
      </c>
      <c r="AM236" s="83" t="s">
        <v>70</v>
      </c>
      <c r="AN236" s="83"/>
      <c r="AO236" s="83"/>
      <c r="AP236" s="83">
        <v>4.726</v>
      </c>
      <c r="AQ236" s="83" t="s">
        <v>424</v>
      </c>
      <c r="AR236" s="83" t="s">
        <v>425</v>
      </c>
    </row>
    <row r="237" spans="1:44" x14ac:dyDescent="0.3">
      <c r="A237" s="83" t="s">
        <v>86</v>
      </c>
      <c r="B237" s="83">
        <v>-3.6600000000000001E-2</v>
      </c>
      <c r="C237" s="83" t="s">
        <v>426</v>
      </c>
      <c r="D237" s="83" t="s">
        <v>427</v>
      </c>
      <c r="E237" s="83" t="s">
        <v>86</v>
      </c>
      <c r="F237" s="83">
        <v>-1.7100000000000001E-2</v>
      </c>
      <c r="G237" s="83" t="s">
        <v>428</v>
      </c>
      <c r="H237" s="83" t="s">
        <v>429</v>
      </c>
      <c r="I237" s="83" t="s">
        <v>86</v>
      </c>
      <c r="J237" s="83"/>
      <c r="K237" s="83"/>
      <c r="L237" s="83">
        <v>-7.2900000000000006E-2</v>
      </c>
      <c r="M237" s="83" t="s">
        <v>430</v>
      </c>
      <c r="N237" s="83" t="s">
        <v>431</v>
      </c>
      <c r="O237" s="83" t="s">
        <v>86</v>
      </c>
      <c r="P237" s="83">
        <v>0.32090000000000002</v>
      </c>
      <c r="Q237" s="83" t="s">
        <v>432</v>
      </c>
      <c r="R237" s="83" t="s">
        <v>433</v>
      </c>
      <c r="S237" s="83" t="s">
        <v>86</v>
      </c>
      <c r="T237" s="83"/>
      <c r="U237" s="83"/>
      <c r="V237" s="83">
        <v>-6.3399999999999998E-2</v>
      </c>
      <c r="W237" s="83" t="s">
        <v>434</v>
      </c>
      <c r="X237" s="83" t="s">
        <v>435</v>
      </c>
      <c r="Y237" s="83" t="s">
        <v>86</v>
      </c>
      <c r="Z237" s="83">
        <v>-8.2600000000000007E-2</v>
      </c>
      <c r="AA237" s="83" t="s">
        <v>436</v>
      </c>
      <c r="AB237" s="83" t="s">
        <v>437</v>
      </c>
      <c r="AC237" s="83" t="s">
        <v>86</v>
      </c>
      <c r="AD237" s="83"/>
      <c r="AE237" s="83"/>
      <c r="AF237" s="83">
        <v>-1.1086</v>
      </c>
      <c r="AG237" s="83" t="s">
        <v>438</v>
      </c>
      <c r="AH237" s="83" t="s">
        <v>439</v>
      </c>
      <c r="AI237" s="83" t="s">
        <v>86</v>
      </c>
      <c r="AJ237" s="83">
        <v>-0.45140000000000002</v>
      </c>
      <c r="AK237" s="83" t="s">
        <v>440</v>
      </c>
      <c r="AL237" s="83" t="s">
        <v>441</v>
      </c>
      <c r="AM237" s="83" t="s">
        <v>86</v>
      </c>
      <c r="AN237" s="83"/>
      <c r="AO237" s="83"/>
      <c r="AP237" s="83">
        <v>-1.03E-2</v>
      </c>
      <c r="AQ237" s="83" t="s">
        <v>442</v>
      </c>
      <c r="AR237" s="83" t="s">
        <v>443</v>
      </c>
    </row>
    <row r="238" spans="1:44" x14ac:dyDescent="0.3">
      <c r="A238" s="83" t="s">
        <v>103</v>
      </c>
      <c r="B238" s="83" t="s">
        <v>444</v>
      </c>
      <c r="C238" s="83"/>
      <c r="D238" s="83"/>
      <c r="E238" s="83" t="s">
        <v>103</v>
      </c>
      <c r="F238" s="83" t="s">
        <v>445</v>
      </c>
      <c r="G238" s="83"/>
      <c r="H238" s="83"/>
      <c r="I238" s="83" t="s">
        <v>103</v>
      </c>
      <c r="J238" s="83"/>
      <c r="K238" s="83"/>
      <c r="L238" s="83" t="s">
        <v>446</v>
      </c>
      <c r="M238" s="83"/>
      <c r="N238" s="83"/>
      <c r="O238" s="83" t="s">
        <v>103</v>
      </c>
      <c r="P238" s="83" t="s">
        <v>447</v>
      </c>
      <c r="Q238" s="83"/>
      <c r="R238" s="83"/>
      <c r="S238" s="83" t="s">
        <v>103</v>
      </c>
      <c r="T238" s="83"/>
      <c r="U238" s="83"/>
      <c r="V238" s="83" t="s">
        <v>448</v>
      </c>
      <c r="W238" s="83"/>
      <c r="X238" s="83"/>
      <c r="Y238" s="83" t="s">
        <v>103</v>
      </c>
      <c r="Z238" s="83" t="s">
        <v>449</v>
      </c>
      <c r="AA238" s="83"/>
      <c r="AB238" s="83"/>
      <c r="AC238" s="83" t="s">
        <v>103</v>
      </c>
      <c r="AD238" s="83"/>
      <c r="AE238" s="83"/>
      <c r="AF238" s="83" t="s">
        <v>450</v>
      </c>
      <c r="AG238" s="83"/>
      <c r="AH238" s="83"/>
      <c r="AI238" s="83" t="s">
        <v>103</v>
      </c>
      <c r="AJ238" s="83" t="s">
        <v>451</v>
      </c>
      <c r="AK238" s="83"/>
      <c r="AL238" s="83"/>
      <c r="AM238" s="83" t="s">
        <v>103</v>
      </c>
      <c r="AN238" s="83"/>
      <c r="AO238" s="83"/>
      <c r="AP238" s="83" t="s">
        <v>452</v>
      </c>
      <c r="AQ238" s="83"/>
      <c r="AR238" s="83"/>
    </row>
    <row r="239" spans="1:44" x14ac:dyDescent="0.3">
      <c r="A239" s="83" t="s">
        <v>113</v>
      </c>
      <c r="B239" s="83" t="s">
        <v>453</v>
      </c>
      <c r="C239" s="83"/>
      <c r="D239" s="83"/>
      <c r="E239" s="83" t="s">
        <v>113</v>
      </c>
      <c r="F239" s="83" t="s">
        <v>454</v>
      </c>
      <c r="G239" s="83"/>
      <c r="H239" s="83"/>
      <c r="I239" s="83" t="s">
        <v>113</v>
      </c>
      <c r="J239" s="83"/>
      <c r="K239" s="83"/>
      <c r="L239" s="83" t="s">
        <v>455</v>
      </c>
      <c r="M239" s="83"/>
      <c r="N239" s="83"/>
      <c r="O239" s="83" t="s">
        <v>113</v>
      </c>
      <c r="P239" s="83" t="s">
        <v>456</v>
      </c>
      <c r="Q239" s="83"/>
      <c r="R239" s="83"/>
      <c r="S239" s="83" t="s">
        <v>113</v>
      </c>
      <c r="T239" s="83"/>
      <c r="U239" s="83"/>
      <c r="V239" s="83" t="s">
        <v>457</v>
      </c>
      <c r="W239" s="83"/>
      <c r="X239" s="83"/>
      <c r="Y239" s="83" t="s">
        <v>113</v>
      </c>
      <c r="Z239" s="83" t="s">
        <v>458</v>
      </c>
      <c r="AA239" s="83"/>
      <c r="AB239" s="83"/>
      <c r="AC239" s="83" t="s">
        <v>113</v>
      </c>
      <c r="AD239" s="83"/>
      <c r="AE239" s="83"/>
      <c r="AF239" s="83" t="s">
        <v>459</v>
      </c>
      <c r="AG239" s="83"/>
      <c r="AH239" s="83"/>
      <c r="AI239" s="83" t="s">
        <v>113</v>
      </c>
      <c r="AJ239" s="83" t="s">
        <v>460</v>
      </c>
      <c r="AK239" s="83"/>
      <c r="AL239" s="83"/>
      <c r="AM239" s="83" t="s">
        <v>113</v>
      </c>
      <c r="AN239" s="83"/>
      <c r="AO239" s="83"/>
      <c r="AP239" s="83" t="s">
        <v>461</v>
      </c>
      <c r="AQ239" s="83"/>
      <c r="AR239" s="83"/>
    </row>
    <row r="240" spans="1:44" x14ac:dyDescent="0.3">
      <c r="A240" s="83" t="s">
        <v>123</v>
      </c>
      <c r="B240" s="83" t="s">
        <v>124</v>
      </c>
      <c r="C240" s="83"/>
      <c r="D240" s="83"/>
      <c r="E240" s="83" t="s">
        <v>123</v>
      </c>
      <c r="F240" s="83" t="s">
        <v>124</v>
      </c>
      <c r="G240" s="83"/>
      <c r="H240" s="83"/>
      <c r="I240" s="83" t="s">
        <v>123</v>
      </c>
      <c r="J240" s="83"/>
      <c r="K240" s="83"/>
      <c r="L240" s="83" t="s">
        <v>124</v>
      </c>
      <c r="M240" s="83"/>
      <c r="N240" s="83"/>
      <c r="O240" s="83" t="s">
        <v>123</v>
      </c>
      <c r="P240" s="83" t="s">
        <v>124</v>
      </c>
      <c r="Q240" s="83"/>
      <c r="R240" s="83"/>
      <c r="S240" s="83" t="s">
        <v>123</v>
      </c>
      <c r="T240" s="83"/>
      <c r="U240" s="83"/>
      <c r="V240" s="83" t="s">
        <v>124</v>
      </c>
      <c r="W240" s="83"/>
      <c r="X240" s="83"/>
      <c r="Y240" s="83" t="s">
        <v>123</v>
      </c>
      <c r="Z240" s="83" t="s">
        <v>124</v>
      </c>
      <c r="AA240" s="83"/>
      <c r="AB240" s="83"/>
      <c r="AC240" s="83" t="s">
        <v>123</v>
      </c>
      <c r="AD240" s="83"/>
      <c r="AE240" s="83"/>
      <c r="AF240" s="83" t="s">
        <v>124</v>
      </c>
      <c r="AG240" s="83"/>
      <c r="AH240" s="83"/>
      <c r="AI240" s="83" t="s">
        <v>123</v>
      </c>
      <c r="AJ240" s="83" t="s">
        <v>124</v>
      </c>
      <c r="AK240" s="83"/>
      <c r="AL240" s="83"/>
      <c r="AM240" s="83" t="s">
        <v>123</v>
      </c>
      <c r="AN240" s="83"/>
      <c r="AO240" s="83"/>
      <c r="AP240" s="83" t="s">
        <v>124</v>
      </c>
      <c r="AQ240" s="83"/>
      <c r="AR240" s="83"/>
    </row>
    <row r="256" spans="1:44" x14ac:dyDescent="0.3">
      <c r="A256" s="92" t="s">
        <v>462</v>
      </c>
      <c r="B256" s="92"/>
      <c r="C256" s="92"/>
      <c r="D256" s="92"/>
      <c r="E256" s="92" t="s">
        <v>463</v>
      </c>
      <c r="F256" s="92"/>
      <c r="G256" s="92"/>
      <c r="H256" s="92"/>
      <c r="I256" s="92" t="s">
        <v>464</v>
      </c>
      <c r="J256" s="92"/>
      <c r="K256" s="92"/>
      <c r="L256" s="92"/>
      <c r="M256" s="92"/>
      <c r="N256" s="92"/>
      <c r="O256" s="92" t="s">
        <v>465</v>
      </c>
      <c r="P256" s="92"/>
      <c r="Q256" s="92"/>
      <c r="R256" s="92"/>
      <c r="S256" s="92" t="s">
        <v>466</v>
      </c>
      <c r="T256" s="92"/>
      <c r="U256" s="92"/>
      <c r="V256" s="92"/>
      <c r="W256" s="92"/>
      <c r="X256" s="92"/>
      <c r="Y256" s="92" t="s">
        <v>467</v>
      </c>
      <c r="Z256" s="92"/>
      <c r="AA256" s="92"/>
      <c r="AB256" s="92"/>
      <c r="AC256" s="92" t="s">
        <v>468</v>
      </c>
      <c r="AD256" s="92"/>
      <c r="AE256" s="92"/>
      <c r="AF256" s="92"/>
      <c r="AG256" s="92"/>
      <c r="AH256" s="92"/>
      <c r="AI256" s="92" t="s">
        <v>469</v>
      </c>
      <c r="AJ256" s="92"/>
      <c r="AK256" s="92"/>
      <c r="AL256" s="92"/>
      <c r="AM256" s="92" t="s">
        <v>470</v>
      </c>
      <c r="AN256" s="92"/>
      <c r="AO256" s="92"/>
      <c r="AP256" s="92"/>
      <c r="AQ256" s="92"/>
      <c r="AR256" s="92"/>
    </row>
    <row r="257" spans="1:44" x14ac:dyDescent="0.3">
      <c r="A257" s="83" t="s">
        <v>41</v>
      </c>
      <c r="B257" s="83" t="s">
        <v>42</v>
      </c>
      <c r="C257" s="83" t="s">
        <v>43</v>
      </c>
      <c r="D257" s="83" t="s">
        <v>44</v>
      </c>
      <c r="E257" s="83" t="s">
        <v>41</v>
      </c>
      <c r="F257" s="83" t="s">
        <v>42</v>
      </c>
      <c r="G257" s="83" t="s">
        <v>43</v>
      </c>
      <c r="H257" s="83" t="s">
        <v>44</v>
      </c>
      <c r="I257" s="83" t="s">
        <v>41</v>
      </c>
      <c r="J257" s="83"/>
      <c r="K257" s="83"/>
      <c r="L257" s="83" t="s">
        <v>42</v>
      </c>
      <c r="M257" s="83" t="s">
        <v>43</v>
      </c>
      <c r="N257" s="83" t="s">
        <v>44</v>
      </c>
      <c r="O257" s="83" t="s">
        <v>41</v>
      </c>
      <c r="P257" s="83" t="s">
        <v>42</v>
      </c>
      <c r="Q257" s="83" t="s">
        <v>43</v>
      </c>
      <c r="R257" s="83" t="s">
        <v>44</v>
      </c>
      <c r="S257" s="83" t="s">
        <v>41</v>
      </c>
      <c r="T257" s="83"/>
      <c r="U257" s="83"/>
      <c r="V257" s="83" t="s">
        <v>42</v>
      </c>
      <c r="W257" s="83" t="s">
        <v>43</v>
      </c>
      <c r="X257" s="83" t="s">
        <v>44</v>
      </c>
      <c r="Y257" s="83" t="s">
        <v>41</v>
      </c>
      <c r="Z257" s="83" t="s">
        <v>42</v>
      </c>
      <c r="AA257" s="83" t="s">
        <v>43</v>
      </c>
      <c r="AB257" s="83" t="s">
        <v>44</v>
      </c>
      <c r="AC257" s="83" t="s">
        <v>41</v>
      </c>
      <c r="AD257" s="83"/>
      <c r="AE257" s="83"/>
      <c r="AF257" s="83" t="s">
        <v>42</v>
      </c>
      <c r="AG257" s="83" t="s">
        <v>43</v>
      </c>
      <c r="AH257" s="83" t="s">
        <v>44</v>
      </c>
      <c r="AI257" s="83" t="s">
        <v>41</v>
      </c>
      <c r="AJ257" s="83" t="s">
        <v>42</v>
      </c>
      <c r="AK257" s="83" t="s">
        <v>43</v>
      </c>
      <c r="AL257" s="83" t="s">
        <v>44</v>
      </c>
      <c r="AM257" s="83" t="s">
        <v>41</v>
      </c>
      <c r="AN257" s="83"/>
      <c r="AO257" s="83"/>
      <c r="AP257" s="83" t="s">
        <v>42</v>
      </c>
      <c r="AQ257" s="83" t="s">
        <v>43</v>
      </c>
      <c r="AR257" s="83" t="s">
        <v>44</v>
      </c>
    </row>
    <row r="258" spans="1:44" x14ac:dyDescent="0.3">
      <c r="A258" s="83" t="s">
        <v>45</v>
      </c>
      <c r="B258" s="83">
        <v>1</v>
      </c>
      <c r="C258" s="83">
        <v>0.11600000000000001</v>
      </c>
      <c r="D258" s="83">
        <v>0.11600000000000001</v>
      </c>
      <c r="E258" s="83" t="s">
        <v>45</v>
      </c>
      <c r="F258" s="83">
        <v>1</v>
      </c>
      <c r="G258" s="83">
        <v>0.121</v>
      </c>
      <c r="H258" s="83">
        <v>0.121</v>
      </c>
      <c r="I258" s="83" t="s">
        <v>45</v>
      </c>
      <c r="J258" s="83"/>
      <c r="K258" s="83"/>
      <c r="L258" s="83">
        <v>1</v>
      </c>
      <c r="M258" s="83">
        <v>0.1128</v>
      </c>
      <c r="N258" s="83">
        <v>0.1128</v>
      </c>
      <c r="O258" s="83" t="s">
        <v>45</v>
      </c>
      <c r="P258" s="83">
        <v>1</v>
      </c>
      <c r="Q258" s="83">
        <v>1.7129000000000001</v>
      </c>
      <c r="R258" s="83">
        <v>1.7129000000000001</v>
      </c>
      <c r="S258" s="83" t="s">
        <v>45</v>
      </c>
      <c r="T258" s="83"/>
      <c r="U258" s="83"/>
      <c r="V258" s="83">
        <v>1</v>
      </c>
      <c r="W258" s="83">
        <v>0.17399999999999999</v>
      </c>
      <c r="X258" s="83">
        <v>0.17399999999999999</v>
      </c>
      <c r="Y258" s="83" t="s">
        <v>45</v>
      </c>
      <c r="Z258" s="83">
        <v>1</v>
      </c>
      <c r="AA258" s="83">
        <v>0.13819999999999999</v>
      </c>
      <c r="AB258" s="83">
        <v>0.13819999999999999</v>
      </c>
      <c r="AC258" s="83" t="s">
        <v>45</v>
      </c>
      <c r="AD258" s="83"/>
      <c r="AE258" s="83"/>
      <c r="AF258" s="83">
        <v>1</v>
      </c>
      <c r="AG258" s="83">
        <v>0.97940000000000005</v>
      </c>
      <c r="AH258" s="83">
        <v>0.97940000000000005</v>
      </c>
      <c r="AI258" s="83" t="s">
        <v>45</v>
      </c>
      <c r="AJ258" s="83">
        <v>1</v>
      </c>
      <c r="AK258" s="83">
        <v>0.1065</v>
      </c>
      <c r="AL258" s="83">
        <v>0.1065</v>
      </c>
      <c r="AM258" s="83" t="s">
        <v>45</v>
      </c>
      <c r="AN258" s="83"/>
      <c r="AO258" s="83"/>
      <c r="AP258" s="83">
        <v>1</v>
      </c>
      <c r="AQ258" s="83">
        <v>0.13550000000000001</v>
      </c>
      <c r="AR258" s="83">
        <v>0.13550000000000001</v>
      </c>
    </row>
    <row r="259" spans="1:44" x14ac:dyDescent="0.3">
      <c r="A259" s="83" t="s">
        <v>46</v>
      </c>
      <c r="B259" s="83">
        <v>4</v>
      </c>
      <c r="C259" s="83">
        <v>0.20250000000000001</v>
      </c>
      <c r="D259" s="83">
        <v>5.0599999999999999E-2</v>
      </c>
      <c r="E259" s="83" t="s">
        <v>46</v>
      </c>
      <c r="F259" s="83">
        <v>4</v>
      </c>
      <c r="G259" s="83">
        <v>0.21540000000000001</v>
      </c>
      <c r="H259" s="83">
        <v>5.3800000000000001E-2</v>
      </c>
      <c r="I259" s="83" t="s">
        <v>46</v>
      </c>
      <c r="J259" s="83"/>
      <c r="K259" s="83"/>
      <c r="L259" s="83">
        <v>4</v>
      </c>
      <c r="M259" s="83">
        <v>0.1983</v>
      </c>
      <c r="N259" s="83">
        <v>4.9599999999999998E-2</v>
      </c>
      <c r="O259" s="83" t="s">
        <v>46</v>
      </c>
      <c r="P259" s="83">
        <v>4</v>
      </c>
      <c r="Q259" s="83">
        <v>36.603900000000003</v>
      </c>
      <c r="R259" s="83">
        <v>9.1509999999999998</v>
      </c>
      <c r="S259" s="83" t="s">
        <v>46</v>
      </c>
      <c r="T259" s="83"/>
      <c r="U259" s="83"/>
      <c r="V259" s="83">
        <v>4</v>
      </c>
      <c r="W259" s="83">
        <v>0.19109999999999999</v>
      </c>
      <c r="X259" s="83">
        <v>4.7800000000000002E-2</v>
      </c>
      <c r="Y259" s="83" t="s">
        <v>46</v>
      </c>
      <c r="Z259" s="83">
        <v>4</v>
      </c>
      <c r="AA259" s="83">
        <v>0.31169999999999998</v>
      </c>
      <c r="AB259" s="83">
        <v>7.7899999999999997E-2</v>
      </c>
      <c r="AC259" s="83" t="s">
        <v>46</v>
      </c>
      <c r="AD259" s="83"/>
      <c r="AE259" s="83"/>
      <c r="AF259" s="83">
        <v>4</v>
      </c>
      <c r="AG259" s="83">
        <v>30.0715</v>
      </c>
      <c r="AH259" s="83">
        <v>7.5179</v>
      </c>
      <c r="AI259" s="83" t="s">
        <v>46</v>
      </c>
      <c r="AJ259" s="83">
        <v>4</v>
      </c>
      <c r="AK259" s="83">
        <v>0.2014</v>
      </c>
      <c r="AL259" s="83">
        <v>5.04E-2</v>
      </c>
      <c r="AM259" s="83" t="s">
        <v>46</v>
      </c>
      <c r="AN259" s="83"/>
      <c r="AO259" s="83"/>
      <c r="AP259" s="83">
        <v>4</v>
      </c>
      <c r="AQ259" s="83">
        <v>0.3533</v>
      </c>
      <c r="AR259" s="83">
        <v>8.8300000000000003E-2</v>
      </c>
    </row>
    <row r="260" spans="1:44" x14ac:dyDescent="0.3">
      <c r="A260" s="83" t="s">
        <v>47</v>
      </c>
      <c r="B260" s="83">
        <v>5</v>
      </c>
      <c r="C260" s="83">
        <v>0.31859999999999999</v>
      </c>
      <c r="D260" s="83" t="s">
        <v>48</v>
      </c>
      <c r="E260" s="83" t="s">
        <v>47</v>
      </c>
      <c r="F260" s="83">
        <v>5</v>
      </c>
      <c r="G260" s="83">
        <v>0.33629999999999999</v>
      </c>
      <c r="H260" s="83" t="s">
        <v>48</v>
      </c>
      <c r="I260" s="83" t="s">
        <v>47</v>
      </c>
      <c r="J260" s="83"/>
      <c r="K260" s="83"/>
      <c r="L260" s="83">
        <v>5</v>
      </c>
      <c r="M260" s="83">
        <v>0.31109999999999999</v>
      </c>
      <c r="N260" s="83" t="s">
        <v>48</v>
      </c>
      <c r="O260" s="83" t="s">
        <v>47</v>
      </c>
      <c r="P260" s="83">
        <v>5</v>
      </c>
      <c r="Q260" s="83">
        <v>38.316800000000001</v>
      </c>
      <c r="R260" s="83" t="s">
        <v>48</v>
      </c>
      <c r="S260" s="83" t="s">
        <v>47</v>
      </c>
      <c r="T260" s="83"/>
      <c r="U260" s="83"/>
      <c r="V260" s="83">
        <v>5</v>
      </c>
      <c r="W260" s="83">
        <v>0.36520000000000002</v>
      </c>
      <c r="X260" s="83" t="s">
        <v>48</v>
      </c>
      <c r="Y260" s="83" t="s">
        <v>47</v>
      </c>
      <c r="Z260" s="83">
        <v>5</v>
      </c>
      <c r="AA260" s="83">
        <v>0.44990000000000002</v>
      </c>
      <c r="AB260" s="83" t="s">
        <v>48</v>
      </c>
      <c r="AC260" s="83" t="s">
        <v>47</v>
      </c>
      <c r="AD260" s="83"/>
      <c r="AE260" s="83"/>
      <c r="AF260" s="83">
        <v>5</v>
      </c>
      <c r="AG260" s="83">
        <v>31.050899999999999</v>
      </c>
      <c r="AH260" s="83" t="s">
        <v>48</v>
      </c>
      <c r="AI260" s="83" t="s">
        <v>47</v>
      </c>
      <c r="AJ260" s="83">
        <v>5</v>
      </c>
      <c r="AK260" s="83">
        <v>0.30790000000000001</v>
      </c>
      <c r="AL260" s="83" t="s">
        <v>48</v>
      </c>
      <c r="AM260" s="83" t="s">
        <v>47</v>
      </c>
      <c r="AN260" s="83"/>
      <c r="AO260" s="83"/>
      <c r="AP260" s="83">
        <v>5</v>
      </c>
      <c r="AQ260" s="83">
        <v>0.48880000000000001</v>
      </c>
      <c r="AR260" s="83" t="s">
        <v>48</v>
      </c>
    </row>
    <row r="261" spans="1:44" x14ac:dyDescent="0.3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</row>
    <row r="262" spans="1:44" x14ac:dyDescent="0.3">
      <c r="A262" s="83" t="s">
        <v>49</v>
      </c>
      <c r="B262" s="83">
        <v>2.2919</v>
      </c>
      <c r="C262" s="83" t="s">
        <v>471</v>
      </c>
      <c r="D262" s="83"/>
      <c r="E262" s="83" t="s">
        <v>49</v>
      </c>
      <c r="F262" s="83">
        <v>2.2467000000000001</v>
      </c>
      <c r="G262" s="83" t="s">
        <v>472</v>
      </c>
      <c r="H262" s="83"/>
      <c r="I262" s="83" t="s">
        <v>49</v>
      </c>
      <c r="J262" s="83"/>
      <c r="K262" s="83"/>
      <c r="L262" s="83">
        <v>2.2755999999999998</v>
      </c>
      <c r="M262" s="83" t="s">
        <v>473</v>
      </c>
      <c r="N262" s="83"/>
      <c r="O262" s="83" t="s">
        <v>49</v>
      </c>
      <c r="P262" s="83">
        <v>0.18720000000000001</v>
      </c>
      <c r="Q262" s="83" t="s">
        <v>474</v>
      </c>
      <c r="R262" s="83"/>
      <c r="S262" s="83" t="s">
        <v>49</v>
      </c>
      <c r="T262" s="83"/>
      <c r="U262" s="83"/>
      <c r="V262" s="83">
        <v>3.6412</v>
      </c>
      <c r="W262" s="83" t="s">
        <v>475</v>
      </c>
      <c r="X262" s="83"/>
      <c r="Y262" s="83" t="s">
        <v>49</v>
      </c>
      <c r="Z262" s="83">
        <v>1.7730999999999999</v>
      </c>
      <c r="AA262" s="83" t="s">
        <v>273</v>
      </c>
      <c r="AB262" s="83"/>
      <c r="AC262" s="83" t="s">
        <v>49</v>
      </c>
      <c r="AD262" s="83"/>
      <c r="AE262" s="83"/>
      <c r="AF262" s="83">
        <v>0.1303</v>
      </c>
      <c r="AG262" s="83" t="s">
        <v>476</v>
      </c>
      <c r="AH262" s="83"/>
      <c r="AI262" s="83" t="s">
        <v>49</v>
      </c>
      <c r="AJ262" s="83">
        <v>2.1145</v>
      </c>
      <c r="AK262" s="83" t="s">
        <v>477</v>
      </c>
      <c r="AL262" s="83"/>
      <c r="AM262" s="83" t="s">
        <v>49</v>
      </c>
      <c r="AN262" s="83"/>
      <c r="AO262" s="83"/>
      <c r="AP262" s="83">
        <v>1.5344</v>
      </c>
      <c r="AQ262" s="83" t="s">
        <v>478</v>
      </c>
      <c r="AR262" s="83"/>
    </row>
    <row r="263" spans="1:44" x14ac:dyDescent="0.3">
      <c r="A263" s="83" t="s">
        <v>59</v>
      </c>
      <c r="B263" s="83" t="s">
        <v>61</v>
      </c>
      <c r="C263" s="83"/>
      <c r="D263" s="83"/>
      <c r="E263" s="83" t="s">
        <v>59</v>
      </c>
      <c r="F263" s="83" t="s">
        <v>61</v>
      </c>
      <c r="G263" s="83"/>
      <c r="H263" s="83"/>
      <c r="I263" s="83" t="s">
        <v>59</v>
      </c>
      <c r="J263" s="83"/>
      <c r="K263" s="83"/>
      <c r="L263" s="83" t="s">
        <v>61</v>
      </c>
      <c r="M263" s="83"/>
      <c r="N263" s="83"/>
      <c r="O263" s="83" t="s">
        <v>59</v>
      </c>
      <c r="P263" s="83" t="s">
        <v>61</v>
      </c>
      <c r="Q263" s="83"/>
      <c r="R263" s="83"/>
      <c r="S263" s="83" t="s">
        <v>59</v>
      </c>
      <c r="T263" s="83"/>
      <c r="U263" s="83"/>
      <c r="V263" s="83" t="s">
        <v>61</v>
      </c>
      <c r="W263" s="83"/>
      <c r="X263" s="83"/>
      <c r="Y263" s="83" t="s">
        <v>59</v>
      </c>
      <c r="Z263" s="83" t="s">
        <v>61</v>
      </c>
      <c r="AA263" s="83"/>
      <c r="AB263" s="83"/>
      <c r="AC263" s="83" t="s">
        <v>59</v>
      </c>
      <c r="AD263" s="83"/>
      <c r="AE263" s="83"/>
      <c r="AF263" s="83" t="s">
        <v>61</v>
      </c>
      <c r="AG263" s="83"/>
      <c r="AH263" s="83"/>
      <c r="AI263" s="83" t="s">
        <v>59</v>
      </c>
      <c r="AJ263" s="83" t="s">
        <v>61</v>
      </c>
      <c r="AK263" s="83"/>
      <c r="AL263" s="83"/>
      <c r="AM263" s="83" t="s">
        <v>59</v>
      </c>
      <c r="AN263" s="83"/>
      <c r="AO263" s="83"/>
      <c r="AP263" s="83" t="s">
        <v>61</v>
      </c>
      <c r="AQ263" s="83"/>
      <c r="AR263" s="83"/>
    </row>
    <row r="264" spans="1:44" x14ac:dyDescent="0.3">
      <c r="A264" s="83" t="s">
        <v>62</v>
      </c>
      <c r="B264" s="83" t="s">
        <v>64</v>
      </c>
      <c r="C264" s="83"/>
      <c r="D264" s="83"/>
      <c r="E264" s="83" t="s">
        <v>62</v>
      </c>
      <c r="F264" s="83" t="s">
        <v>64</v>
      </c>
      <c r="G264" s="83"/>
      <c r="H264" s="83"/>
      <c r="I264" s="83" t="s">
        <v>62</v>
      </c>
      <c r="J264" s="83"/>
      <c r="K264" s="83"/>
      <c r="L264" s="83" t="s">
        <v>64</v>
      </c>
      <c r="M264" s="83"/>
      <c r="N264" s="83"/>
      <c r="O264" s="83" t="s">
        <v>62</v>
      </c>
      <c r="P264" s="83" t="s">
        <v>64</v>
      </c>
      <c r="Q264" s="83"/>
      <c r="R264" s="83"/>
      <c r="S264" s="83" t="s">
        <v>62</v>
      </c>
      <c r="T264" s="83"/>
      <c r="U264" s="83"/>
      <c r="V264" s="83" t="s">
        <v>64</v>
      </c>
      <c r="W264" s="83"/>
      <c r="X264" s="83"/>
      <c r="Y264" s="83" t="s">
        <v>62</v>
      </c>
      <c r="Z264" s="83" t="s">
        <v>64</v>
      </c>
      <c r="AA264" s="83"/>
      <c r="AB264" s="83"/>
      <c r="AC264" s="83" t="s">
        <v>62</v>
      </c>
      <c r="AD264" s="83"/>
      <c r="AE264" s="83"/>
      <c r="AF264" s="83" t="s">
        <v>64</v>
      </c>
      <c r="AG264" s="83"/>
      <c r="AH264" s="83"/>
      <c r="AI264" s="83" t="s">
        <v>62</v>
      </c>
      <c r="AJ264" s="83" t="s">
        <v>64</v>
      </c>
      <c r="AK264" s="83"/>
      <c r="AL264" s="83"/>
      <c r="AM264" s="83" t="s">
        <v>62</v>
      </c>
      <c r="AN264" s="83"/>
      <c r="AO264" s="83"/>
      <c r="AP264" s="83" t="s">
        <v>64</v>
      </c>
      <c r="AQ264" s="83"/>
      <c r="AR264" s="83"/>
    </row>
    <row r="265" spans="1:44" x14ac:dyDescent="0.3">
      <c r="A265" s="83" t="s">
        <v>65</v>
      </c>
      <c r="B265" s="83">
        <v>3.5</v>
      </c>
      <c r="C265" s="83"/>
      <c r="D265" s="83"/>
      <c r="E265" s="83" t="s">
        <v>65</v>
      </c>
      <c r="F265" s="83">
        <v>3.5</v>
      </c>
      <c r="G265" s="83"/>
      <c r="H265" s="83"/>
      <c r="I265" s="83" t="s">
        <v>65</v>
      </c>
      <c r="J265" s="83"/>
      <c r="K265" s="83"/>
      <c r="L265" s="83">
        <v>3.5</v>
      </c>
      <c r="M265" s="83"/>
      <c r="N265" s="83"/>
      <c r="O265" s="83" t="s">
        <v>65</v>
      </c>
      <c r="P265" s="83">
        <v>3.5</v>
      </c>
      <c r="Q265" s="83"/>
      <c r="R265" s="83"/>
      <c r="S265" s="83" t="s">
        <v>65</v>
      </c>
      <c r="T265" s="83"/>
      <c r="U265" s="83"/>
      <c r="V265" s="83">
        <v>3.5</v>
      </c>
      <c r="W265" s="83"/>
      <c r="X265" s="83"/>
      <c r="Y265" s="83" t="s">
        <v>65</v>
      </c>
      <c r="Z265" s="83">
        <v>3.5</v>
      </c>
      <c r="AA265" s="83"/>
      <c r="AB265" s="83"/>
      <c r="AC265" s="83" t="s">
        <v>65</v>
      </c>
      <c r="AD265" s="83"/>
      <c r="AE265" s="83"/>
      <c r="AF265" s="83">
        <v>3.5</v>
      </c>
      <c r="AG265" s="83"/>
      <c r="AH265" s="83"/>
      <c r="AI265" s="83" t="s">
        <v>65</v>
      </c>
      <c r="AJ265" s="83">
        <v>3.5</v>
      </c>
      <c r="AK265" s="83"/>
      <c r="AL265" s="83"/>
      <c r="AM265" s="83" t="s">
        <v>65</v>
      </c>
      <c r="AN265" s="83"/>
      <c r="AO265" s="83"/>
      <c r="AP265" s="83">
        <v>3.5</v>
      </c>
      <c r="AQ265" s="83"/>
      <c r="AR265" s="83"/>
    </row>
    <row r="266" spans="1:44" x14ac:dyDescent="0.3">
      <c r="A266" s="83" t="s">
        <v>66</v>
      </c>
      <c r="B266" s="83">
        <v>1.405</v>
      </c>
      <c r="C266" s="83"/>
      <c r="D266" s="83"/>
      <c r="E266" s="83" t="s">
        <v>66</v>
      </c>
      <c r="F266" s="83">
        <v>1.5349999999999999</v>
      </c>
      <c r="G266" s="83"/>
      <c r="H266" s="83"/>
      <c r="I266" s="83" t="s">
        <v>66</v>
      </c>
      <c r="J266" s="83"/>
      <c r="K266" s="83"/>
      <c r="L266" s="83">
        <v>1.2617</v>
      </c>
      <c r="M266" s="83"/>
      <c r="N266" s="83"/>
      <c r="O266" s="83" t="s">
        <v>66</v>
      </c>
      <c r="P266" s="83">
        <v>-1.2749999999999999</v>
      </c>
      <c r="Q266" s="83"/>
      <c r="R266" s="83"/>
      <c r="S266" s="83" t="s">
        <v>66</v>
      </c>
      <c r="T266" s="83"/>
      <c r="U266" s="83"/>
      <c r="V266" s="83">
        <v>3.4350000000000001</v>
      </c>
      <c r="W266" s="83"/>
      <c r="X266" s="83"/>
      <c r="Y266" s="83" t="s">
        <v>66</v>
      </c>
      <c r="Z266" s="83">
        <v>5.3917000000000002</v>
      </c>
      <c r="AA266" s="83"/>
      <c r="AB266" s="83"/>
      <c r="AC266" s="83" t="s">
        <v>66</v>
      </c>
      <c r="AD266" s="83"/>
      <c r="AE266" s="83"/>
      <c r="AF266" s="83">
        <v>-0.6633</v>
      </c>
      <c r="AG266" s="83"/>
      <c r="AH266" s="83"/>
      <c r="AI266" s="83" t="s">
        <v>66</v>
      </c>
      <c r="AJ266" s="83">
        <v>3.2082999999999999</v>
      </c>
      <c r="AK266" s="83"/>
      <c r="AL266" s="83"/>
      <c r="AM266" s="83" t="s">
        <v>66</v>
      </c>
      <c r="AN266" s="83"/>
      <c r="AO266" s="83"/>
      <c r="AP266" s="83">
        <v>5.08</v>
      </c>
      <c r="AQ266" s="83"/>
      <c r="AR266" s="83"/>
    </row>
    <row r="267" spans="1:44" x14ac:dyDescent="0.3">
      <c r="A267" s="83" t="s">
        <v>67</v>
      </c>
      <c r="B267" s="83">
        <v>0.36430000000000001</v>
      </c>
      <c r="C267" s="83"/>
      <c r="D267" s="83"/>
      <c r="E267" s="83" t="s">
        <v>67</v>
      </c>
      <c r="F267" s="83">
        <v>0.35970000000000002</v>
      </c>
      <c r="G267" s="83"/>
      <c r="H267" s="83"/>
      <c r="I267" s="83" t="s">
        <v>67</v>
      </c>
      <c r="J267" s="83"/>
      <c r="K267" s="83"/>
      <c r="L267" s="83">
        <v>0.36259999999999998</v>
      </c>
      <c r="M267" s="83"/>
      <c r="N267" s="83"/>
      <c r="O267" s="83" t="s">
        <v>67</v>
      </c>
      <c r="P267" s="83">
        <v>4.4699999999999997E-2</v>
      </c>
      <c r="Q267" s="83"/>
      <c r="R267" s="83"/>
      <c r="S267" s="83" t="s">
        <v>67</v>
      </c>
      <c r="T267" s="83"/>
      <c r="U267" s="83"/>
      <c r="V267" s="83">
        <v>0.47649999999999998</v>
      </c>
      <c r="W267" s="83"/>
      <c r="X267" s="83"/>
      <c r="Y267" s="83" t="s">
        <v>67</v>
      </c>
      <c r="Z267" s="83">
        <v>0.30709999999999998</v>
      </c>
      <c r="AA267" s="83"/>
      <c r="AB267" s="83"/>
      <c r="AC267" s="83" t="s">
        <v>67</v>
      </c>
      <c r="AD267" s="83"/>
      <c r="AE267" s="83"/>
      <c r="AF267" s="83">
        <v>3.15E-2</v>
      </c>
      <c r="AG267" s="83"/>
      <c r="AH267" s="83"/>
      <c r="AI267" s="83" t="s">
        <v>67</v>
      </c>
      <c r="AJ267" s="83">
        <v>0.3458</v>
      </c>
      <c r="AK267" s="83"/>
      <c r="AL267" s="83"/>
      <c r="AM267" s="83" t="s">
        <v>67</v>
      </c>
      <c r="AN267" s="83"/>
      <c r="AO267" s="83"/>
      <c r="AP267" s="83">
        <v>0.27729999999999999</v>
      </c>
      <c r="AQ267" s="83"/>
      <c r="AR267" s="83"/>
    </row>
    <row r="268" spans="1:44" x14ac:dyDescent="0.3">
      <c r="A268" s="83" t="s">
        <v>68</v>
      </c>
      <c r="B268" s="83">
        <v>0.20530000000000001</v>
      </c>
      <c r="C268" s="83"/>
      <c r="D268" s="83"/>
      <c r="E268" s="83" t="s">
        <v>68</v>
      </c>
      <c r="F268" s="83">
        <v>0.1996</v>
      </c>
      <c r="G268" s="83"/>
      <c r="H268" s="83"/>
      <c r="I268" s="83" t="s">
        <v>68</v>
      </c>
      <c r="J268" s="83"/>
      <c r="K268" s="83"/>
      <c r="L268" s="83">
        <v>0.20330000000000001</v>
      </c>
      <c r="M268" s="83"/>
      <c r="N268" s="83"/>
      <c r="O268" s="83" t="s">
        <v>68</v>
      </c>
      <c r="P268" s="83">
        <v>-0.19409999999999999</v>
      </c>
      <c r="Q268" s="83"/>
      <c r="R268" s="83"/>
      <c r="S268" s="83" t="s">
        <v>68</v>
      </c>
      <c r="T268" s="83"/>
      <c r="U268" s="83"/>
      <c r="V268" s="83">
        <v>0.34570000000000001</v>
      </c>
      <c r="W268" s="83"/>
      <c r="X268" s="83"/>
      <c r="Y268" s="83" t="s">
        <v>68</v>
      </c>
      <c r="Z268" s="83">
        <v>0.13389999999999999</v>
      </c>
      <c r="AA268" s="83"/>
      <c r="AB268" s="83"/>
      <c r="AC268" s="83" t="s">
        <v>68</v>
      </c>
      <c r="AD268" s="83"/>
      <c r="AE268" s="83"/>
      <c r="AF268" s="83">
        <v>-0.21060000000000001</v>
      </c>
      <c r="AG268" s="83"/>
      <c r="AH268" s="83"/>
      <c r="AI268" s="83" t="s">
        <v>68</v>
      </c>
      <c r="AJ268" s="83">
        <v>0.18229999999999999</v>
      </c>
      <c r="AK268" s="83"/>
      <c r="AL268" s="83"/>
      <c r="AM268" s="83" t="s">
        <v>68</v>
      </c>
      <c r="AN268" s="83"/>
      <c r="AO268" s="83"/>
      <c r="AP268" s="83">
        <v>9.6600000000000005E-2</v>
      </c>
      <c r="AQ268" s="83"/>
      <c r="AR268" s="83"/>
    </row>
    <row r="269" spans="1:44" x14ac:dyDescent="0.3">
      <c r="A269" s="83" t="s">
        <v>69</v>
      </c>
      <c r="B269" s="83">
        <v>0.60350000000000004</v>
      </c>
      <c r="C269" s="83"/>
      <c r="D269" s="83"/>
      <c r="E269" s="83" t="s">
        <v>69</v>
      </c>
      <c r="F269" s="83">
        <v>0.59970000000000001</v>
      </c>
      <c r="G269" s="83"/>
      <c r="H269" s="83"/>
      <c r="I269" s="83" t="s">
        <v>69</v>
      </c>
      <c r="J269" s="83"/>
      <c r="K269" s="83"/>
      <c r="L269" s="83">
        <v>0.60219999999999996</v>
      </c>
      <c r="M269" s="83"/>
      <c r="N269" s="83"/>
      <c r="O269" s="83" t="s">
        <v>69</v>
      </c>
      <c r="P269" s="83">
        <v>0.2114</v>
      </c>
      <c r="Q269" s="83"/>
      <c r="R269" s="83"/>
      <c r="S269" s="83" t="s">
        <v>69</v>
      </c>
      <c r="T269" s="83"/>
      <c r="U269" s="83"/>
      <c r="V269" s="83">
        <v>0.69030000000000002</v>
      </c>
      <c r="W269" s="83"/>
      <c r="X269" s="83"/>
      <c r="Y269" s="83" t="s">
        <v>69</v>
      </c>
      <c r="Z269" s="83">
        <v>0.55420000000000003</v>
      </c>
      <c r="AA269" s="83"/>
      <c r="AB269" s="83"/>
      <c r="AC269" s="83" t="s">
        <v>69</v>
      </c>
      <c r="AD269" s="83"/>
      <c r="AE269" s="83"/>
      <c r="AF269" s="83">
        <v>0.17760000000000001</v>
      </c>
      <c r="AG269" s="83"/>
      <c r="AH269" s="83"/>
      <c r="AI269" s="83" t="s">
        <v>69</v>
      </c>
      <c r="AJ269" s="83">
        <v>0.58809999999999996</v>
      </c>
      <c r="AK269" s="83"/>
      <c r="AL269" s="83"/>
      <c r="AM269" s="83" t="s">
        <v>69</v>
      </c>
      <c r="AN269" s="83"/>
      <c r="AO269" s="83"/>
      <c r="AP269" s="83">
        <v>0.52649999999999997</v>
      </c>
      <c r="AQ269" s="83"/>
      <c r="AR269" s="83"/>
    </row>
    <row r="270" spans="1:44" x14ac:dyDescent="0.3">
      <c r="A270" s="83" t="s">
        <v>70</v>
      </c>
      <c r="B270" s="83">
        <v>1.1200000000000001</v>
      </c>
      <c r="C270" s="83" t="s">
        <v>479</v>
      </c>
      <c r="D270" s="83" t="s">
        <v>480</v>
      </c>
      <c r="E270" s="83" t="s">
        <v>70</v>
      </c>
      <c r="F270" s="83">
        <v>1.244</v>
      </c>
      <c r="G270" s="83" t="s">
        <v>481</v>
      </c>
      <c r="H270" s="83" t="s">
        <v>482</v>
      </c>
      <c r="I270" s="83" t="s">
        <v>70</v>
      </c>
      <c r="J270" s="83"/>
      <c r="K270" s="83"/>
      <c r="L270" s="83">
        <v>0.98070000000000002</v>
      </c>
      <c r="M270" s="83" t="s">
        <v>483</v>
      </c>
      <c r="N270" s="83" t="s">
        <v>281</v>
      </c>
      <c r="O270" s="83" t="s">
        <v>70</v>
      </c>
      <c r="P270" s="83">
        <v>-2.37</v>
      </c>
      <c r="Q270" s="83" t="s">
        <v>484</v>
      </c>
      <c r="R270" s="83" t="s">
        <v>485</v>
      </c>
      <c r="S270" s="83" t="s">
        <v>70</v>
      </c>
      <c r="T270" s="83"/>
      <c r="U270" s="83"/>
      <c r="V270" s="83">
        <v>3.7839999999999998</v>
      </c>
      <c r="W270" s="83" t="s">
        <v>486</v>
      </c>
      <c r="X270" s="83" t="s">
        <v>78</v>
      </c>
      <c r="Y270" s="83" t="s">
        <v>70</v>
      </c>
      <c r="Z270" s="83">
        <v>5.0807000000000002</v>
      </c>
      <c r="AA270" s="83" t="s">
        <v>487</v>
      </c>
      <c r="AB270" s="83" t="s">
        <v>78</v>
      </c>
      <c r="AC270" s="83" t="s">
        <v>70</v>
      </c>
      <c r="AD270" s="83"/>
      <c r="AE270" s="83"/>
      <c r="AF270" s="83">
        <v>0.16470000000000001</v>
      </c>
      <c r="AG270" s="83" t="s">
        <v>488</v>
      </c>
      <c r="AH270" s="83" t="s">
        <v>489</v>
      </c>
      <c r="AI270" s="83" t="s">
        <v>70</v>
      </c>
      <c r="AJ270" s="83">
        <v>3.4813000000000001</v>
      </c>
      <c r="AK270" s="83" t="s">
        <v>490</v>
      </c>
      <c r="AL270" s="83" t="s">
        <v>78</v>
      </c>
      <c r="AM270" s="83" t="s">
        <v>70</v>
      </c>
      <c r="AN270" s="83"/>
      <c r="AO270" s="83"/>
      <c r="AP270" s="83">
        <v>4.7720000000000002</v>
      </c>
      <c r="AQ270" s="83" t="s">
        <v>491</v>
      </c>
      <c r="AR270" s="83" t="s">
        <v>78</v>
      </c>
    </row>
    <row r="271" spans="1:44" x14ac:dyDescent="0.3">
      <c r="A271" s="83" t="s">
        <v>86</v>
      </c>
      <c r="B271" s="83">
        <v>8.14E-2</v>
      </c>
      <c r="C271" s="83" t="s">
        <v>492</v>
      </c>
      <c r="D271" s="83" t="s">
        <v>493</v>
      </c>
      <c r="E271" s="83" t="s">
        <v>86</v>
      </c>
      <c r="F271" s="83">
        <v>8.3099999999999993E-2</v>
      </c>
      <c r="G271" s="83" t="s">
        <v>494</v>
      </c>
      <c r="H271" s="83" t="s">
        <v>495</v>
      </c>
      <c r="I271" s="83" t="s">
        <v>86</v>
      </c>
      <c r="J271" s="83"/>
      <c r="K271" s="83"/>
      <c r="L271" s="83">
        <v>8.0299999999999996E-2</v>
      </c>
      <c r="M271" s="83" t="s">
        <v>496</v>
      </c>
      <c r="N271" s="83" t="s">
        <v>497</v>
      </c>
      <c r="O271" s="83" t="s">
        <v>86</v>
      </c>
      <c r="P271" s="83">
        <v>0.31290000000000001</v>
      </c>
      <c r="Q271" s="83" t="s">
        <v>498</v>
      </c>
      <c r="R271" s="83" t="s">
        <v>499</v>
      </c>
      <c r="S271" s="83" t="s">
        <v>86</v>
      </c>
      <c r="T271" s="83"/>
      <c r="U271" s="83"/>
      <c r="V271" s="83">
        <v>-9.9699999999999997E-2</v>
      </c>
      <c r="W271" s="83" t="s">
        <v>500</v>
      </c>
      <c r="X271" s="83" t="s">
        <v>501</v>
      </c>
      <c r="Y271" s="83" t="s">
        <v>86</v>
      </c>
      <c r="Z271" s="83">
        <v>8.8900000000000007E-2</v>
      </c>
      <c r="AA271" s="83" t="s">
        <v>502</v>
      </c>
      <c r="AB271" s="83" t="s">
        <v>503</v>
      </c>
      <c r="AC271" s="83" t="s">
        <v>86</v>
      </c>
      <c r="AD271" s="83"/>
      <c r="AE271" s="83"/>
      <c r="AF271" s="83">
        <v>-0.2366</v>
      </c>
      <c r="AG271" s="83" t="s">
        <v>504</v>
      </c>
      <c r="AH271" s="83" t="s">
        <v>505</v>
      </c>
      <c r="AI271" s="83" t="s">
        <v>86</v>
      </c>
      <c r="AJ271" s="83">
        <v>-7.8E-2</v>
      </c>
      <c r="AK271" s="83" t="s">
        <v>506</v>
      </c>
      <c r="AL271" s="83" t="s">
        <v>507</v>
      </c>
      <c r="AM271" s="83" t="s">
        <v>86</v>
      </c>
      <c r="AN271" s="83"/>
      <c r="AO271" s="83"/>
      <c r="AP271" s="83">
        <v>8.7999999999999995E-2</v>
      </c>
      <c r="AQ271" s="83" t="s">
        <v>508</v>
      </c>
      <c r="AR271" s="83" t="s">
        <v>509</v>
      </c>
    </row>
    <row r="272" spans="1:44" x14ac:dyDescent="0.3">
      <c r="A272" s="83" t="s">
        <v>103</v>
      </c>
      <c r="B272" s="83" t="s">
        <v>510</v>
      </c>
      <c r="C272" s="83"/>
      <c r="D272" s="83"/>
      <c r="E272" s="83" t="s">
        <v>103</v>
      </c>
      <c r="F272" s="83" t="s">
        <v>511</v>
      </c>
      <c r="G272" s="83"/>
      <c r="H272" s="83"/>
      <c r="I272" s="83" t="s">
        <v>103</v>
      </c>
      <c r="J272" s="83"/>
      <c r="K272" s="83"/>
      <c r="L272" s="83" t="s">
        <v>512</v>
      </c>
      <c r="M272" s="83"/>
      <c r="N272" s="83"/>
      <c r="O272" s="83" t="s">
        <v>103</v>
      </c>
      <c r="P272" s="83" t="s">
        <v>513</v>
      </c>
      <c r="Q272" s="83"/>
      <c r="R272" s="83"/>
      <c r="S272" s="83" t="s">
        <v>103</v>
      </c>
      <c r="T272" s="83"/>
      <c r="U272" s="83"/>
      <c r="V272" s="83" t="s">
        <v>514</v>
      </c>
      <c r="W272" s="83"/>
      <c r="X272" s="83"/>
      <c r="Y272" s="83" t="s">
        <v>103</v>
      </c>
      <c r="Z272" s="83" t="s">
        <v>515</v>
      </c>
      <c r="AA272" s="83"/>
      <c r="AB272" s="83"/>
      <c r="AC272" s="83" t="s">
        <v>103</v>
      </c>
      <c r="AD272" s="83"/>
      <c r="AE272" s="83"/>
      <c r="AF272" s="83" t="s">
        <v>516</v>
      </c>
      <c r="AG272" s="83"/>
      <c r="AH272" s="83"/>
      <c r="AI272" s="83" t="s">
        <v>103</v>
      </c>
      <c r="AJ272" s="83" t="s">
        <v>517</v>
      </c>
      <c r="AK272" s="83"/>
      <c r="AL272" s="83"/>
      <c r="AM272" s="83" t="s">
        <v>103</v>
      </c>
      <c r="AN272" s="83"/>
      <c r="AO272" s="83"/>
      <c r="AP272" s="83" t="s">
        <v>518</v>
      </c>
      <c r="AQ272" s="83"/>
      <c r="AR272" s="83"/>
    </row>
    <row r="273" spans="1:44" x14ac:dyDescent="0.3">
      <c r="A273" s="83" t="s">
        <v>113</v>
      </c>
      <c r="B273" s="83" t="s">
        <v>519</v>
      </c>
      <c r="C273" s="83"/>
      <c r="D273" s="83"/>
      <c r="E273" s="83" t="s">
        <v>113</v>
      </c>
      <c r="F273" s="83" t="s">
        <v>520</v>
      </c>
      <c r="G273" s="83"/>
      <c r="H273" s="83"/>
      <c r="I273" s="83" t="s">
        <v>113</v>
      </c>
      <c r="J273" s="83"/>
      <c r="K273" s="83"/>
      <c r="L273" s="83" t="s">
        <v>521</v>
      </c>
      <c r="M273" s="83"/>
      <c r="N273" s="83"/>
      <c r="O273" s="83" t="s">
        <v>113</v>
      </c>
      <c r="P273" s="83" t="s">
        <v>522</v>
      </c>
      <c r="Q273" s="83"/>
      <c r="R273" s="83"/>
      <c r="S273" s="83" t="s">
        <v>113</v>
      </c>
      <c r="T273" s="83"/>
      <c r="U273" s="83"/>
      <c r="V273" s="83" t="s">
        <v>523</v>
      </c>
      <c r="W273" s="83"/>
      <c r="X273" s="83"/>
      <c r="Y273" s="83" t="s">
        <v>113</v>
      </c>
      <c r="Z273" s="83" t="s">
        <v>524</v>
      </c>
      <c r="AA273" s="83"/>
      <c r="AB273" s="83"/>
      <c r="AC273" s="83" t="s">
        <v>113</v>
      </c>
      <c r="AD273" s="83"/>
      <c r="AE273" s="83"/>
      <c r="AF273" s="83" t="s">
        <v>525</v>
      </c>
      <c r="AG273" s="83"/>
      <c r="AH273" s="83"/>
      <c r="AI273" s="83" t="s">
        <v>113</v>
      </c>
      <c r="AJ273" s="83" t="s">
        <v>526</v>
      </c>
      <c r="AK273" s="83"/>
      <c r="AL273" s="83"/>
      <c r="AM273" s="83" t="s">
        <v>113</v>
      </c>
      <c r="AN273" s="83"/>
      <c r="AO273" s="83"/>
      <c r="AP273" s="83" t="s">
        <v>527</v>
      </c>
      <c r="AQ273" s="83"/>
      <c r="AR273" s="83"/>
    </row>
    <row r="274" spans="1:44" x14ac:dyDescent="0.3">
      <c r="A274" s="83" t="s">
        <v>123</v>
      </c>
      <c r="B274" s="83" t="s">
        <v>124</v>
      </c>
      <c r="C274" s="83"/>
      <c r="D274" s="83"/>
      <c r="E274" s="83" t="s">
        <v>123</v>
      </c>
      <c r="F274" s="83" t="s">
        <v>124</v>
      </c>
      <c r="G274" s="83"/>
      <c r="H274" s="83"/>
      <c r="I274" s="83" t="s">
        <v>123</v>
      </c>
      <c r="J274" s="83"/>
      <c r="K274" s="83"/>
      <c r="L274" s="83" t="s">
        <v>124</v>
      </c>
      <c r="M274" s="83"/>
      <c r="N274" s="83"/>
      <c r="O274" s="83" t="s">
        <v>123</v>
      </c>
      <c r="P274" s="83" t="s">
        <v>124</v>
      </c>
      <c r="Q274" s="83"/>
      <c r="R274" s="83"/>
      <c r="S274" s="83" t="s">
        <v>123</v>
      </c>
      <c r="T274" s="83"/>
      <c r="U274" s="83"/>
      <c r="V274" s="83" t="s">
        <v>124</v>
      </c>
      <c r="W274" s="83"/>
      <c r="X274" s="83"/>
      <c r="Y274" s="83" t="s">
        <v>123</v>
      </c>
      <c r="Z274" s="83" t="s">
        <v>124</v>
      </c>
      <c r="AA274" s="83"/>
      <c r="AB274" s="83"/>
      <c r="AC274" s="83" t="s">
        <v>123</v>
      </c>
      <c r="AD274" s="83"/>
      <c r="AE274" s="83"/>
      <c r="AF274" s="83" t="s">
        <v>124</v>
      </c>
      <c r="AG274" s="83"/>
      <c r="AH274" s="83"/>
      <c r="AI274" s="83" t="s">
        <v>123</v>
      </c>
      <c r="AJ274" s="83" t="s">
        <v>124</v>
      </c>
      <c r="AK274" s="83"/>
      <c r="AL274" s="83"/>
      <c r="AM274" s="83" t="s">
        <v>123</v>
      </c>
      <c r="AN274" s="83"/>
      <c r="AO274" s="83"/>
      <c r="AP274" s="83" t="s">
        <v>124</v>
      </c>
      <c r="AQ274" s="83"/>
      <c r="AR274" s="83"/>
    </row>
  </sheetData>
  <mergeCells count="459">
    <mergeCell ref="AC256:AH256"/>
    <mergeCell ref="AI256:AL256"/>
    <mergeCell ref="AM256:AR256"/>
    <mergeCell ref="A256:D256"/>
    <mergeCell ref="E256:H256"/>
    <mergeCell ref="I256:N256"/>
    <mergeCell ref="O256:R256"/>
    <mergeCell ref="S256:X256"/>
    <mergeCell ref="Y256:AB256"/>
    <mergeCell ref="AM187:AR187"/>
    <mergeCell ref="A222:D222"/>
    <mergeCell ref="E222:H222"/>
    <mergeCell ref="I222:N222"/>
    <mergeCell ref="O222:R222"/>
    <mergeCell ref="S222:X222"/>
    <mergeCell ref="Y222:AB222"/>
    <mergeCell ref="AC222:AH222"/>
    <mergeCell ref="AI222:AL222"/>
    <mergeCell ref="AM222:AR222"/>
    <mergeCell ref="AI153:AL153"/>
    <mergeCell ref="AM153:AR153"/>
    <mergeCell ref="A187:D187"/>
    <mergeCell ref="E187:H187"/>
    <mergeCell ref="I187:N187"/>
    <mergeCell ref="O187:R187"/>
    <mergeCell ref="S187:X187"/>
    <mergeCell ref="Y187:AB187"/>
    <mergeCell ref="AC187:AH187"/>
    <mergeCell ref="AI187:AL187"/>
    <mergeCell ref="AC119:AH119"/>
    <mergeCell ref="AI119:AL119"/>
    <mergeCell ref="AM119:AR119"/>
    <mergeCell ref="A153:D153"/>
    <mergeCell ref="E153:H153"/>
    <mergeCell ref="I153:N153"/>
    <mergeCell ref="O153:R153"/>
    <mergeCell ref="S153:X153"/>
    <mergeCell ref="Y153:AB153"/>
    <mergeCell ref="AC153:AH153"/>
    <mergeCell ref="A119:D119"/>
    <mergeCell ref="E119:H119"/>
    <mergeCell ref="I119:N119"/>
    <mergeCell ref="O119:R119"/>
    <mergeCell ref="S119:X119"/>
    <mergeCell ref="Y119:AB119"/>
    <mergeCell ref="AJ51:AN51"/>
    <mergeCell ref="A84:D84"/>
    <mergeCell ref="E84:H84"/>
    <mergeCell ref="I84:N84"/>
    <mergeCell ref="O84:R84"/>
    <mergeCell ref="S84:X84"/>
    <mergeCell ref="Y84:AB84"/>
    <mergeCell ref="AC84:AH84"/>
    <mergeCell ref="AI84:AL84"/>
    <mergeCell ref="AM84:AR84"/>
    <mergeCell ref="CK40:CK45"/>
    <mergeCell ref="CL40:CL45"/>
    <mergeCell ref="CM40:CM45"/>
    <mergeCell ref="CN40:CN45"/>
    <mergeCell ref="A51:D51"/>
    <mergeCell ref="E51:H51"/>
    <mergeCell ref="Q51:V51"/>
    <mergeCell ref="W51:Z51"/>
    <mergeCell ref="AA51:AE51"/>
    <mergeCell ref="AF51:AI51"/>
    <mergeCell ref="CA40:CA45"/>
    <mergeCell ref="CB40:CB45"/>
    <mergeCell ref="CC40:CC45"/>
    <mergeCell ref="CD40:CD45"/>
    <mergeCell ref="CI40:CI45"/>
    <mergeCell ref="CJ40:CJ45"/>
    <mergeCell ref="BQ40:BQ45"/>
    <mergeCell ref="BR40:BR45"/>
    <mergeCell ref="BS40:BS45"/>
    <mergeCell ref="BT40:BT45"/>
    <mergeCell ref="BY40:BY45"/>
    <mergeCell ref="BZ40:BZ45"/>
    <mergeCell ref="BG40:BG45"/>
    <mergeCell ref="BH40:BH45"/>
    <mergeCell ref="BI40:BI45"/>
    <mergeCell ref="BJ40:BJ45"/>
    <mergeCell ref="BO40:BO45"/>
    <mergeCell ref="BP40:BP45"/>
    <mergeCell ref="AW40:AW45"/>
    <mergeCell ref="AX40:AX45"/>
    <mergeCell ref="AY40:AY45"/>
    <mergeCell ref="AZ40:AZ45"/>
    <mergeCell ref="BE40:BE45"/>
    <mergeCell ref="BF40:BF45"/>
    <mergeCell ref="AM40:AM45"/>
    <mergeCell ref="AN40:AN45"/>
    <mergeCell ref="AO40:AO45"/>
    <mergeCell ref="AP40:AP45"/>
    <mergeCell ref="AU40:AU45"/>
    <mergeCell ref="AV40:AV45"/>
    <mergeCell ref="AC40:AC45"/>
    <mergeCell ref="AD40:AD45"/>
    <mergeCell ref="AE40:AE45"/>
    <mergeCell ref="AF40:AF45"/>
    <mergeCell ref="AK40:AK45"/>
    <mergeCell ref="AL40:AL45"/>
    <mergeCell ref="S40:S45"/>
    <mergeCell ref="T40:T45"/>
    <mergeCell ref="U40:U45"/>
    <mergeCell ref="V40:V45"/>
    <mergeCell ref="AA40:AA45"/>
    <mergeCell ref="AB40:AB45"/>
    <mergeCell ref="CN34:CN39"/>
    <mergeCell ref="B40:B45"/>
    <mergeCell ref="G40:G45"/>
    <mergeCell ref="H40:H45"/>
    <mergeCell ref="I40:I45"/>
    <mergeCell ref="J40:J45"/>
    <mergeCell ref="K40:K45"/>
    <mergeCell ref="L40:L45"/>
    <mergeCell ref="Q40:Q45"/>
    <mergeCell ref="R40:R45"/>
    <mergeCell ref="CD34:CD39"/>
    <mergeCell ref="CI34:CI39"/>
    <mergeCell ref="CJ34:CJ39"/>
    <mergeCell ref="CK34:CK39"/>
    <mergeCell ref="CL34:CL39"/>
    <mergeCell ref="CM34:CM39"/>
    <mergeCell ref="BT34:BT39"/>
    <mergeCell ref="BY34:BY39"/>
    <mergeCell ref="BZ34:BZ39"/>
    <mergeCell ref="CA34:CA39"/>
    <mergeCell ref="CB34:CB39"/>
    <mergeCell ref="CC34:CC39"/>
    <mergeCell ref="BJ34:BJ39"/>
    <mergeCell ref="BO34:BO39"/>
    <mergeCell ref="BP34:BP39"/>
    <mergeCell ref="BQ34:BQ39"/>
    <mergeCell ref="BR34:BR39"/>
    <mergeCell ref="BS34:BS39"/>
    <mergeCell ref="AZ34:AZ39"/>
    <mergeCell ref="BE34:BE39"/>
    <mergeCell ref="BF34:BF39"/>
    <mergeCell ref="BG34:BG39"/>
    <mergeCell ref="BH34:BH39"/>
    <mergeCell ref="BI34:BI39"/>
    <mergeCell ref="AP34:AP39"/>
    <mergeCell ref="AU34:AU39"/>
    <mergeCell ref="AV34:AV39"/>
    <mergeCell ref="AW34:AW39"/>
    <mergeCell ref="AX34:AX39"/>
    <mergeCell ref="AY34:AY39"/>
    <mergeCell ref="AF34:AF39"/>
    <mergeCell ref="AK34:AK39"/>
    <mergeCell ref="AL34:AL39"/>
    <mergeCell ref="AM34:AM39"/>
    <mergeCell ref="AN34:AN39"/>
    <mergeCell ref="AO34:AO39"/>
    <mergeCell ref="V34:V39"/>
    <mergeCell ref="AA34:AA39"/>
    <mergeCell ref="AB34:AB39"/>
    <mergeCell ref="AC34:AC39"/>
    <mergeCell ref="AD34:AD39"/>
    <mergeCell ref="AE34:AE39"/>
    <mergeCell ref="L34:L39"/>
    <mergeCell ref="Q34:Q39"/>
    <mergeCell ref="R34:R39"/>
    <mergeCell ref="S34:S39"/>
    <mergeCell ref="T34:T39"/>
    <mergeCell ref="U34:U39"/>
    <mergeCell ref="CK28:CK33"/>
    <mergeCell ref="CL28:CL33"/>
    <mergeCell ref="CM28:CM33"/>
    <mergeCell ref="CN28:CN33"/>
    <mergeCell ref="B34:B39"/>
    <mergeCell ref="G34:G39"/>
    <mergeCell ref="H34:H39"/>
    <mergeCell ref="I34:I39"/>
    <mergeCell ref="J34:J39"/>
    <mergeCell ref="K34:K39"/>
    <mergeCell ref="CA28:CA33"/>
    <mergeCell ref="CB28:CB33"/>
    <mergeCell ref="CC28:CC33"/>
    <mergeCell ref="CD28:CD33"/>
    <mergeCell ref="CI28:CI33"/>
    <mergeCell ref="CJ28:CJ33"/>
    <mergeCell ref="BQ28:BQ33"/>
    <mergeCell ref="BR28:BR33"/>
    <mergeCell ref="BS28:BS33"/>
    <mergeCell ref="BT28:BT33"/>
    <mergeCell ref="BY28:BY33"/>
    <mergeCell ref="BZ28:BZ33"/>
    <mergeCell ref="BG28:BG33"/>
    <mergeCell ref="BH28:BH33"/>
    <mergeCell ref="BI28:BI33"/>
    <mergeCell ref="BJ28:BJ33"/>
    <mergeCell ref="BO28:BO33"/>
    <mergeCell ref="BP28:BP33"/>
    <mergeCell ref="AW28:AW33"/>
    <mergeCell ref="AX28:AX33"/>
    <mergeCell ref="AY28:AY33"/>
    <mergeCell ref="AZ28:AZ33"/>
    <mergeCell ref="BE28:BE33"/>
    <mergeCell ref="BF28:BF33"/>
    <mergeCell ref="AM28:AM33"/>
    <mergeCell ref="AN28:AN33"/>
    <mergeCell ref="AO28:AO33"/>
    <mergeCell ref="AP28:AP33"/>
    <mergeCell ref="AU28:AU33"/>
    <mergeCell ref="AV28:AV33"/>
    <mergeCell ref="AC28:AC33"/>
    <mergeCell ref="AD28:AD33"/>
    <mergeCell ref="AE28:AE33"/>
    <mergeCell ref="AF28:AF33"/>
    <mergeCell ref="AK28:AK33"/>
    <mergeCell ref="AL28:AL33"/>
    <mergeCell ref="S28:S33"/>
    <mergeCell ref="T28:T33"/>
    <mergeCell ref="U28:U33"/>
    <mergeCell ref="V28:V33"/>
    <mergeCell ref="AA28:AA33"/>
    <mergeCell ref="AB28:AB33"/>
    <mergeCell ref="CN22:CN27"/>
    <mergeCell ref="B28:B33"/>
    <mergeCell ref="G28:G33"/>
    <mergeCell ref="H28:H33"/>
    <mergeCell ref="I28:I33"/>
    <mergeCell ref="J28:J33"/>
    <mergeCell ref="K28:K33"/>
    <mergeCell ref="L28:L33"/>
    <mergeCell ref="Q28:Q33"/>
    <mergeCell ref="R28:R33"/>
    <mergeCell ref="CD22:CD27"/>
    <mergeCell ref="CI22:CI27"/>
    <mergeCell ref="CJ22:CJ27"/>
    <mergeCell ref="CK22:CK27"/>
    <mergeCell ref="CL22:CL27"/>
    <mergeCell ref="CM22:CM27"/>
    <mergeCell ref="BT22:BT27"/>
    <mergeCell ref="BY22:BY27"/>
    <mergeCell ref="BZ22:BZ27"/>
    <mergeCell ref="CA22:CA27"/>
    <mergeCell ref="CB22:CB27"/>
    <mergeCell ref="CC22:CC27"/>
    <mergeCell ref="BJ22:BJ27"/>
    <mergeCell ref="BO22:BO27"/>
    <mergeCell ref="BP22:BP27"/>
    <mergeCell ref="BQ22:BQ27"/>
    <mergeCell ref="BR22:BR27"/>
    <mergeCell ref="BS22:BS27"/>
    <mergeCell ref="AZ22:AZ27"/>
    <mergeCell ref="BE22:BE27"/>
    <mergeCell ref="BF22:BF27"/>
    <mergeCell ref="BG22:BG27"/>
    <mergeCell ref="BH22:BH27"/>
    <mergeCell ref="BI22:BI27"/>
    <mergeCell ref="AP22:AP27"/>
    <mergeCell ref="AU22:AU27"/>
    <mergeCell ref="AV22:AV27"/>
    <mergeCell ref="AW22:AW27"/>
    <mergeCell ref="AX22:AX27"/>
    <mergeCell ref="AY22:AY27"/>
    <mergeCell ref="AF22:AF27"/>
    <mergeCell ref="AK22:AK27"/>
    <mergeCell ref="AL22:AL27"/>
    <mergeCell ref="AM22:AM27"/>
    <mergeCell ref="AN22:AN27"/>
    <mergeCell ref="AO22:AO27"/>
    <mergeCell ref="V22:V27"/>
    <mergeCell ref="AA22:AA27"/>
    <mergeCell ref="AB22:AB27"/>
    <mergeCell ref="AC22:AC27"/>
    <mergeCell ref="AD22:AD27"/>
    <mergeCell ref="AE22:AE27"/>
    <mergeCell ref="L22:L27"/>
    <mergeCell ref="Q22:Q27"/>
    <mergeCell ref="R22:R27"/>
    <mergeCell ref="S22:S27"/>
    <mergeCell ref="T22:T27"/>
    <mergeCell ref="U22:U27"/>
    <mergeCell ref="CK16:CK21"/>
    <mergeCell ref="CL16:CL21"/>
    <mergeCell ref="CM16:CM21"/>
    <mergeCell ref="CN16:CN21"/>
    <mergeCell ref="B22:B27"/>
    <mergeCell ref="G22:G27"/>
    <mergeCell ref="H22:H27"/>
    <mergeCell ref="I22:I27"/>
    <mergeCell ref="J22:J27"/>
    <mergeCell ref="K22:K27"/>
    <mergeCell ref="CA16:CA21"/>
    <mergeCell ref="CB16:CB21"/>
    <mergeCell ref="CC16:CC21"/>
    <mergeCell ref="CD16:CD21"/>
    <mergeCell ref="CI16:CI21"/>
    <mergeCell ref="CJ16:CJ21"/>
    <mergeCell ref="BQ16:BQ21"/>
    <mergeCell ref="BR16:BR21"/>
    <mergeCell ref="BS16:BS21"/>
    <mergeCell ref="BT16:BT21"/>
    <mergeCell ref="BY16:BY21"/>
    <mergeCell ref="BZ16:BZ21"/>
    <mergeCell ref="BG16:BG21"/>
    <mergeCell ref="BH16:BH21"/>
    <mergeCell ref="BI16:BI21"/>
    <mergeCell ref="BJ16:BJ21"/>
    <mergeCell ref="BO16:BO21"/>
    <mergeCell ref="BP16:BP21"/>
    <mergeCell ref="AW16:AW21"/>
    <mergeCell ref="AX16:AX21"/>
    <mergeCell ref="AY16:AY21"/>
    <mergeCell ref="AZ16:AZ21"/>
    <mergeCell ref="BE16:BE21"/>
    <mergeCell ref="BF16:BF21"/>
    <mergeCell ref="AM16:AM21"/>
    <mergeCell ref="AN16:AN21"/>
    <mergeCell ref="AO16:AO21"/>
    <mergeCell ref="AP16:AP21"/>
    <mergeCell ref="AU16:AU21"/>
    <mergeCell ref="AV16:AV21"/>
    <mergeCell ref="AC16:AC21"/>
    <mergeCell ref="AD16:AD21"/>
    <mergeCell ref="AE16:AE21"/>
    <mergeCell ref="AF16:AF21"/>
    <mergeCell ref="AK16:AK21"/>
    <mergeCell ref="AL16:AL21"/>
    <mergeCell ref="S16:S21"/>
    <mergeCell ref="T16:T21"/>
    <mergeCell ref="U16:U21"/>
    <mergeCell ref="V16:V21"/>
    <mergeCell ref="AA16:AA21"/>
    <mergeCell ref="AB16:AB21"/>
    <mergeCell ref="CN10:CN15"/>
    <mergeCell ref="B16:B21"/>
    <mergeCell ref="G16:G21"/>
    <mergeCell ref="H16:H21"/>
    <mergeCell ref="I16:I21"/>
    <mergeCell ref="J16:J21"/>
    <mergeCell ref="K16:K21"/>
    <mergeCell ref="L16:L21"/>
    <mergeCell ref="Q16:Q21"/>
    <mergeCell ref="R16:R21"/>
    <mergeCell ref="CD10:CD15"/>
    <mergeCell ref="CI10:CI15"/>
    <mergeCell ref="CJ10:CJ15"/>
    <mergeCell ref="CK10:CK15"/>
    <mergeCell ref="CL10:CL15"/>
    <mergeCell ref="CM10:CM15"/>
    <mergeCell ref="BT10:BT15"/>
    <mergeCell ref="BY10:BY15"/>
    <mergeCell ref="BZ10:BZ15"/>
    <mergeCell ref="CA10:CA15"/>
    <mergeCell ref="CB10:CB15"/>
    <mergeCell ref="CC10:CC15"/>
    <mergeCell ref="BJ10:BJ15"/>
    <mergeCell ref="BO10:BO15"/>
    <mergeCell ref="BP10:BP15"/>
    <mergeCell ref="BQ10:BQ15"/>
    <mergeCell ref="BR10:BR15"/>
    <mergeCell ref="BS10:BS15"/>
    <mergeCell ref="AZ10:AZ15"/>
    <mergeCell ref="BE10:BE15"/>
    <mergeCell ref="BF10:BF15"/>
    <mergeCell ref="BG10:BG15"/>
    <mergeCell ref="BH10:BH15"/>
    <mergeCell ref="BI10:BI15"/>
    <mergeCell ref="AP10:AP15"/>
    <mergeCell ref="AU10:AU15"/>
    <mergeCell ref="AV10:AV15"/>
    <mergeCell ref="AW10:AW15"/>
    <mergeCell ref="AX10:AX15"/>
    <mergeCell ref="AY10:AY15"/>
    <mergeCell ref="AF10:AF15"/>
    <mergeCell ref="AK10:AK15"/>
    <mergeCell ref="AL10:AL15"/>
    <mergeCell ref="AM10:AM15"/>
    <mergeCell ref="AN10:AN15"/>
    <mergeCell ref="AO10:AO15"/>
    <mergeCell ref="V10:V15"/>
    <mergeCell ref="AA10:AA15"/>
    <mergeCell ref="AB10:AB15"/>
    <mergeCell ref="AC10:AC15"/>
    <mergeCell ref="AD10:AD15"/>
    <mergeCell ref="AE10:AE15"/>
    <mergeCell ref="L10:L15"/>
    <mergeCell ref="Q10:Q15"/>
    <mergeCell ref="R10:R15"/>
    <mergeCell ref="S10:S15"/>
    <mergeCell ref="T10:T15"/>
    <mergeCell ref="U10:U15"/>
    <mergeCell ref="B10:B15"/>
    <mergeCell ref="G10:G15"/>
    <mergeCell ref="H10:H15"/>
    <mergeCell ref="I10:I15"/>
    <mergeCell ref="J10:J15"/>
    <mergeCell ref="K10:K15"/>
    <mergeCell ref="CI4:CI9"/>
    <mergeCell ref="CJ4:CJ9"/>
    <mergeCell ref="CK4:CK9"/>
    <mergeCell ref="CL4:CL9"/>
    <mergeCell ref="CM4:CM9"/>
    <mergeCell ref="CN4:CN9"/>
    <mergeCell ref="BY4:BY9"/>
    <mergeCell ref="BZ4:BZ9"/>
    <mergeCell ref="CA4:CA9"/>
    <mergeCell ref="CB4:CB9"/>
    <mergeCell ref="CC4:CC9"/>
    <mergeCell ref="CD4:CD9"/>
    <mergeCell ref="BO4:BO9"/>
    <mergeCell ref="BP4:BP9"/>
    <mergeCell ref="BQ4:BQ9"/>
    <mergeCell ref="BR4:BR9"/>
    <mergeCell ref="BS4:BS9"/>
    <mergeCell ref="BT4:BT9"/>
    <mergeCell ref="BE4:BE9"/>
    <mergeCell ref="BF4:BF9"/>
    <mergeCell ref="BG4:BG9"/>
    <mergeCell ref="BH4:BH9"/>
    <mergeCell ref="BI4:BI9"/>
    <mergeCell ref="BJ4:BJ9"/>
    <mergeCell ref="AU4:AU9"/>
    <mergeCell ref="AV4:AV9"/>
    <mergeCell ref="AW4:AW9"/>
    <mergeCell ref="AX4:AX9"/>
    <mergeCell ref="AY4:AY9"/>
    <mergeCell ref="AZ4:AZ9"/>
    <mergeCell ref="AK4:AK9"/>
    <mergeCell ref="AL4:AL9"/>
    <mergeCell ref="AM4:AM9"/>
    <mergeCell ref="AN4:AN9"/>
    <mergeCell ref="AO4:AO9"/>
    <mergeCell ref="AP4:AP9"/>
    <mergeCell ref="AA4:AA9"/>
    <mergeCell ref="AB4:AB9"/>
    <mergeCell ref="AC4:AC9"/>
    <mergeCell ref="AD4:AD9"/>
    <mergeCell ref="AE4:AE9"/>
    <mergeCell ref="AF4:AF9"/>
    <mergeCell ref="Q4:Q9"/>
    <mergeCell ref="R4:R9"/>
    <mergeCell ref="S4:S9"/>
    <mergeCell ref="T4:T9"/>
    <mergeCell ref="U4:U9"/>
    <mergeCell ref="V4:V9"/>
    <mergeCell ref="BK2:BT2"/>
    <mergeCell ref="BU2:CD2"/>
    <mergeCell ref="CE2:CN2"/>
    <mergeCell ref="B4:B9"/>
    <mergeCell ref="G4:G9"/>
    <mergeCell ref="H4:H9"/>
    <mergeCell ref="I4:I9"/>
    <mergeCell ref="J4:J9"/>
    <mergeCell ref="K4:K9"/>
    <mergeCell ref="L4:L9"/>
    <mergeCell ref="A1:Z1"/>
    <mergeCell ref="AG1:BJ1"/>
    <mergeCell ref="BK1:CN1"/>
    <mergeCell ref="A2:A3"/>
    <mergeCell ref="C2:L2"/>
    <mergeCell ref="M2:V2"/>
    <mergeCell ref="W2:AF2"/>
    <mergeCell ref="AG2:AP2"/>
    <mergeCell ref="AQ2:AZ2"/>
    <mergeCell ref="BA2:BJ2"/>
  </mergeCells>
  <pageMargins left="0.25" right="0.25" top="0.75" bottom="0.75" header="0.3" footer="0.3"/>
  <pageSetup paperSize="9" scale="10" fitToWidth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Nathalya Rocha</dc:creator>
  <cp:lastModifiedBy>Nathalya Rocha</cp:lastModifiedBy>
  <dcterms:created xsi:type="dcterms:W3CDTF">2026-01-20T20:43:48Z</dcterms:created>
  <dcterms:modified xsi:type="dcterms:W3CDTF">2026-01-20T20:44:30Z</dcterms:modified>
</cp:coreProperties>
</file>